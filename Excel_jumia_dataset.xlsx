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javan\Desktop\Jumia\Jumia_Product_Performance_Dashboard\"/>
    </mc:Choice>
  </mc:AlternateContent>
  <xr:revisionPtr revIDLastSave="0" documentId="13_ncr:1_{F556B953-CAE8-443C-8BF4-876A73D46180}" xr6:coauthVersionLast="47" xr6:coauthVersionMax="47" xr10:uidLastSave="{00000000-0000-0000-0000-000000000000}"/>
  <bookViews>
    <workbookView xWindow="3600" yWindow="3600" windowWidth="14400" windowHeight="7340" firstSheet="1" activeTab="4" xr2:uid="{720439CB-7872-429C-94DD-03C07880A471}"/>
  </bookViews>
  <sheets>
    <sheet name="Excel_jumia_dataset" sheetId="1" r:id="rId1"/>
    <sheet name="Cleaned" sheetId="2" r:id="rId2"/>
    <sheet name="Analysis" sheetId="3" r:id="rId3"/>
    <sheet name="Pivot_Tables" sheetId="5" r:id="rId4"/>
    <sheet name="Dashboard" sheetId="6" r:id="rId5"/>
    <sheet name="Data Dictionary" sheetId="7" r:id="rId6"/>
  </sheets>
  <definedNames>
    <definedName name="_xlnm._FilterDatabase" localSheetId="1" hidden="1">Cleaned!$A$1:$F$116</definedName>
    <definedName name="Slicer_Discount_category">#N/A</definedName>
    <definedName name="Slicer_Rating_category">#N/A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7" i="6" l="1"/>
  <c r="B7" i="3"/>
  <c r="AC7" i="6" s="1"/>
  <c r="B6" i="3"/>
  <c r="M3" i="3" a="1"/>
  <c r="M3" i="3" s="1"/>
  <c r="L3" i="3" a="1"/>
  <c r="L3" i="3" s="1"/>
  <c r="K3" i="3" a="1"/>
  <c r="K3" i="3" s="1"/>
  <c r="J3" i="3" a="1"/>
  <c r="J3" i="3" s="1"/>
  <c r="I3" i="3" a="1"/>
  <c r="I3" i="3" s="1"/>
  <c r="G2" i="2"/>
  <c r="T25" i="6" l="1"/>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C45" i="3"/>
  <c r="D45" i="3" s="1"/>
  <c r="C46" i="3"/>
  <c r="D46" i="3" s="1"/>
  <c r="C47" i="3"/>
  <c r="D47" i="3" s="1"/>
  <c r="C48" i="3"/>
  <c r="B48" i="3" s="1"/>
  <c r="C49" i="3"/>
  <c r="B49" i="3" s="1"/>
  <c r="C50" i="3"/>
  <c r="D50" i="3" s="1"/>
  <c r="C51" i="3"/>
  <c r="D51" i="3" s="1"/>
  <c r="C52" i="3"/>
  <c r="D52" i="3" s="1"/>
  <c r="C53" i="3"/>
  <c r="D53" i="3" s="1"/>
  <c r="C44" i="3"/>
  <c r="D44" i="3" s="1"/>
  <c r="C31" i="3"/>
  <c r="D31" i="3" s="1"/>
  <c r="C32" i="3"/>
  <c r="D32" i="3" s="1"/>
  <c r="C33" i="3"/>
  <c r="D33" i="3" s="1"/>
  <c r="C34" i="3"/>
  <c r="B34" i="3" s="1"/>
  <c r="C35" i="3"/>
  <c r="D35" i="3" s="1"/>
  <c r="C36" i="3"/>
  <c r="B36" i="3" s="1"/>
  <c r="C37" i="3"/>
  <c r="D37" i="3" s="1"/>
  <c r="C38" i="3"/>
  <c r="B38" i="3" s="1"/>
  <c r="C39" i="3"/>
  <c r="D39" i="3" s="1"/>
  <c r="C30" i="3"/>
  <c r="D30" i="3" s="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B12" i="3"/>
  <c r="B11" i="3"/>
  <c r="B10" i="3"/>
  <c r="B5" i="3"/>
  <c r="S7" i="6" s="1"/>
  <c r="B4" i="3"/>
  <c r="N7" i="6" s="1"/>
  <c r="B3" i="3"/>
  <c r="I7" i="6" s="1"/>
  <c r="B2" i="3"/>
  <c r="D7" i="6" s="1"/>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H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B37" i="3" l="1"/>
  <c r="D38" i="3"/>
  <c r="D36" i="3"/>
  <c r="B35" i="3"/>
  <c r="B47" i="3"/>
  <c r="D49" i="3"/>
  <c r="B44" i="3"/>
  <c r="B46" i="3"/>
  <c r="D48" i="3"/>
  <c r="B53" i="3"/>
  <c r="B45" i="3"/>
  <c r="B30" i="3"/>
  <c r="B32" i="3"/>
  <c r="D34" i="3"/>
  <c r="B52" i="3"/>
  <c r="B33" i="3"/>
  <c r="B39" i="3"/>
  <c r="B31" i="3"/>
  <c r="B51" i="3"/>
  <c r="B50" i="3"/>
  <c r="C19" i="3"/>
  <c r="D19" i="3" s="1"/>
  <c r="C21" i="3"/>
  <c r="B21" i="3" s="1"/>
  <c r="C20" i="3"/>
  <c r="D20" i="3" s="1"/>
  <c r="C16" i="3"/>
  <c r="C18" i="3"/>
  <c r="C25" i="3"/>
  <c r="C17" i="3"/>
  <c r="C24" i="3"/>
  <c r="C23" i="3"/>
  <c r="C22" i="3"/>
  <c r="B20" i="3" l="1"/>
  <c r="D21" i="3"/>
  <c r="B19" i="3"/>
  <c r="D18" i="3"/>
  <c r="B18" i="3"/>
  <c r="D16" i="3"/>
  <c r="B16" i="3"/>
  <c r="B22" i="3"/>
  <c r="D22" i="3"/>
  <c r="B23" i="3"/>
  <c r="D23" i="3"/>
  <c r="D25" i="3"/>
  <c r="B25" i="3"/>
  <c r="B24" i="3"/>
  <c r="D24" i="3"/>
  <c r="D17" i="3"/>
  <c r="B17"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<sst xmlns="http://schemas.openxmlformats.org/spreadsheetml/2006/main" count="782" uniqueCount="489">
  <si>
    <t>Product</t>
  </si>
  <si>
    <t>Current price</t>
  </si>
  <si>
    <t>old price</t>
  </si>
  <si>
    <t>Discount</t>
  </si>
  <si>
    <t>Review</t>
  </si>
  <si>
    <t>Ratingd</t>
  </si>
  <si>
    <t>115  Piece Set Of Multifunctional Precision Screwdrivers</t>
  </si>
  <si>
    <t>KSh 950</t>
  </si>
  <si>
    <t>KSh 1,525</t>
  </si>
  <si>
    <t>4.5 out of 5</t>
  </si>
  <si>
    <t>Metal Decorative Hooks Key Hangers Entryway Wall Hooks Towel Hooks - Home</t>
  </si>
  <si>
    <t>KSh 527</t>
  </si>
  <si>
    <t>KSh 999</t>
  </si>
  <si>
    <t>4.1 out of 5</t>
  </si>
  <si>
    <t>Portable Mini Cordless Car Vacuum Cleaner - Blue</t>
  </si>
  <si>
    <t>KSh 2,199</t>
  </si>
  <si>
    <t>KSh 2,923</t>
  </si>
  <si>
    <t>4.6 out of 5</t>
  </si>
  <si>
    <t>Weighing Scale Digital Bathroom Body Fat Scale USB-Black</t>
  </si>
  <si>
    <t>KSh 1,580</t>
  </si>
  <si>
    <t>KSh 2,499</t>
  </si>
  <si>
    <t>4.7 out of 5</t>
  </si>
  <si>
    <t>Portable Home Small Air Humidifier 3-Speed Fan - Green</t>
  </si>
  <si>
    <t>KSh 1,740</t>
  </si>
  <si>
    <t>KSh 2,356</t>
  </si>
  <si>
    <t>4.8 out of 5</t>
  </si>
  <si>
    <t>220V 60W Electric Soldering Iron Kits With Tools, Tips, And Multimeter</t>
  </si>
  <si>
    <t>KSh 2,999</t>
  </si>
  <si>
    <t>KSh 3,290</t>
  </si>
  <si>
    <t>4 out of 5</t>
  </si>
  <si>
    <t>137 Pieces Cake Decorating Tool Set Baking Supplies</t>
  </si>
  <si>
    <t>KSh 2,319</t>
  </si>
  <si>
    <t>KSh 3,032</t>
  </si>
  <si>
    <t>Desk Foldable Fan Adjustable Fan Strong Wind 3 Gear Usb</t>
  </si>
  <si>
    <t>KSh 988</t>
  </si>
  <si>
    <t>LASA FOLDING TABLE SERVING STAND</t>
  </si>
  <si>
    <t>KSh 1,274</t>
  </si>
  <si>
    <t>KSh 2,800</t>
  </si>
  <si>
    <t>13 In 1 Home Repair Tools Box Kit Set</t>
  </si>
  <si>
    <t>KSh 1,600</t>
  </si>
  <si>
    <t>KSh 2,929</t>
  </si>
  <si>
    <t>3.8 out of 5</t>
  </si>
  <si>
    <t>Genebre 115 In 1 Screwdriver Repairing Tool Set For IPhone Cellphone Hand Tool</t>
  </si>
  <si>
    <t>KSh 799</t>
  </si>
  <si>
    <t>100 Pcs Crochet Hook Tool Set Knitting Hook Set With Box</t>
  </si>
  <si>
    <t>KSh 990</t>
  </si>
  <si>
    <t>KSh 1,500</t>
  </si>
  <si>
    <t>40cm Gold DIY Acrylic Wall Sticker Clock</t>
  </si>
  <si>
    <t>KSh 552</t>
  </si>
  <si>
    <t>KSh 1,035</t>
  </si>
  <si>
    <t>LASA Digital Thermometer And Hydrometer</t>
  </si>
  <si>
    <t>KSh 501</t>
  </si>
  <si>
    <t>KSh 860</t>
  </si>
  <si>
    <t>Multifunction Laser Level With Adjustment Tripod</t>
  </si>
  <si>
    <t>KSh 1,680</t>
  </si>
  <si>
    <t>4.2 out of 5</t>
  </si>
  <si>
    <t>Anti-Skid Absorbent Insulation Coaster  For Home Office</t>
  </si>
  <si>
    <t>KSh 332</t>
  </si>
  <si>
    <t>KSh 684</t>
  </si>
  <si>
    <t>5 out of 5</t>
  </si>
  <si>
    <t>Peacock  Throw Pillow Cushion Case For Home Car</t>
  </si>
  <si>
    <t>KSh 195</t>
  </si>
  <si>
    <t>KSh 360</t>
  </si>
  <si>
    <t>LASA Aluminum Folding Truck Hand Cart - 68kg Max</t>
  </si>
  <si>
    <t>KSh 2,025</t>
  </si>
  <si>
    <t>KSh 3,971</t>
  </si>
  <si>
    <t>LED Wall Digital Alarm Clock Study Home 12 / 24H Clock Calendar</t>
  </si>
  <si>
    <t>KSh 3,699</t>
  </si>
  <si>
    <t>3D Waterproof EVA Plastic Shower Curtain 1.8*2Mtrs</t>
  </si>
  <si>
    <t>KSh 998</t>
  </si>
  <si>
    <t>KSh 1,966</t>
  </si>
  <si>
    <t>3PCS Single Head Knitting Crochet Sweater Needle Set</t>
  </si>
  <si>
    <t>KSh 38</t>
  </si>
  <si>
    <t>KSh 80</t>
  </si>
  <si>
    <t>3.3 out of 5</t>
  </si>
  <si>
    <t>4pcs Bathroom/Kitchen Towel Rack,Roll Paper Holder,Towel Bars,Hook</t>
  </si>
  <si>
    <t>KSh 1,860</t>
  </si>
  <si>
    <t>KSh 3,220</t>
  </si>
  <si>
    <t>LED Romantic Spaceship Starry Sky Projector,Children's Bedroom Night Light-Blue</t>
  </si>
  <si>
    <t>KSh 880</t>
  </si>
  <si>
    <t>KSh 1,350</t>
  </si>
  <si>
    <t>Foldable Overbed Table/Desk</t>
  </si>
  <si>
    <t>KSh 1,650</t>
  </si>
  <si>
    <t>KSh 2,150</t>
  </si>
  <si>
    <t>4.4 out of 5</t>
  </si>
  <si>
    <t>LASA 3 Tier Bamboo Shoe Bench Storage Shelf</t>
  </si>
  <si>
    <t>KSh 2,048</t>
  </si>
  <si>
    <t>KSh 4,500</t>
  </si>
  <si>
    <t>4.3 out of 5</t>
  </si>
  <si>
    <t>Electronic Digital Display Vernier Caliper</t>
  </si>
  <si>
    <t>KSh 420</t>
  </si>
  <si>
    <t>KSh 647</t>
  </si>
  <si>
    <t>Portable Wardrobe Nonwoven With 3 Hanging Rods And 6 Storage Shelves</t>
  </si>
  <si>
    <t>KSh 2,880</t>
  </si>
  <si>
    <t>KSh 3,520</t>
  </si>
  <si>
    <t>12 Litre Black Insulated Lunch Box</t>
  </si>
  <si>
    <t>KSh 1,990</t>
  </si>
  <si>
    <t>52 Pieces Cake Decorating Tool Set Gift Kit Baking Supplies</t>
  </si>
  <si>
    <t>KSh 1,758</t>
  </si>
  <si>
    <t>MultiFunctional Storage Rack Multi-layer Bookshelf</t>
  </si>
  <si>
    <t>KSh 2,200</t>
  </si>
  <si>
    <t>KSh 4,080</t>
  </si>
  <si>
    <t>Exfoliate And Exfoliate Face Towel - Black</t>
  </si>
  <si>
    <t>KSh 185</t>
  </si>
  <si>
    <t>KSh 382</t>
  </si>
  <si>
    <t>12 Litre Insulated Lunch Box Grey</t>
  </si>
  <si>
    <t>KSh 980</t>
  </si>
  <si>
    <t>KSh 1,490</t>
  </si>
  <si>
    <t>LED Eye Protection  Desk Lamp , Study, Reading, USB Fan - Double Pen Holder</t>
  </si>
  <si>
    <t>KSh 1,820</t>
  </si>
  <si>
    <t>KSh 3,490</t>
  </si>
  <si>
    <t>53Pcs/Set Yarn Knitting Crochet Hooks With Bag - Fortune Cat</t>
  </si>
  <si>
    <t>KSh 1,940</t>
  </si>
  <si>
    <t>KSh 2,650</t>
  </si>
  <si>
    <t>53 Pieces/Set Yarn Knitting Crochet Hooks With Bag - Pansies</t>
  </si>
  <si>
    <t>KSh 1,980</t>
  </si>
  <si>
    <t>KSh 2,699</t>
  </si>
  <si>
    <t>DIY File Folder, Office Drawer File Holder, Pen Holder, Desktop Storage Rack</t>
  </si>
  <si>
    <t>KSh 1,620</t>
  </si>
  <si>
    <t>KSh 2,690</t>
  </si>
  <si>
    <t>Classic Black Cat Cotton Hemp Pillow Case For Home Car</t>
  </si>
  <si>
    <t>KSh 171</t>
  </si>
  <si>
    <t>Punch-free Great Load Bearing Bathroom Storage Rack Wall Shelf-White</t>
  </si>
  <si>
    <t>KSh 389</t>
  </si>
  <si>
    <t>KSh 656</t>
  </si>
  <si>
    <t>1/2/3 Seater Elastic Sofa Cover,Living Room/Home Decor Chair Cover-Grey</t>
  </si>
  <si>
    <t>KSh 1,620 - KSh 1,980</t>
  </si>
  <si>
    <t>KSh 2,200 - KSh 3,200</t>
  </si>
  <si>
    <t>LASA Stainless Steel Double Wall Mount Soap Dispenser - 500ml</t>
  </si>
  <si>
    <t>KSh 2,750</t>
  </si>
  <si>
    <t>KSh 4,471</t>
  </si>
  <si>
    <t>4M Float Switch Water Level Controller -Water Tank</t>
  </si>
  <si>
    <t>KSh 475</t>
  </si>
  <si>
    <t>KSh 931</t>
  </si>
  <si>
    <t>Modern Sofa Throw Pillow Cover-45x45cm-Blue&amp;Red</t>
  </si>
  <si>
    <t>KSh 238</t>
  </si>
  <si>
    <t>KSh 476</t>
  </si>
  <si>
    <t>Balloon Insert, Birthday Party Balloon Set, PU Leather</t>
  </si>
  <si>
    <t>KSh 610</t>
  </si>
  <si>
    <t>KSh 1,060</t>
  </si>
  <si>
    <t>Shower Cap Wide Elastic Band Cover Reusable Bashroom Cap</t>
  </si>
  <si>
    <t>KSh 2,132</t>
  </si>
  <si>
    <t>KSh 2,169</t>
  </si>
  <si>
    <t>Christmas Elk Fence Yard Lawn Decorations Cute For Holidays</t>
  </si>
  <si>
    <t>KSh 2,000</t>
  </si>
  <si>
    <t>60W Hot Melt Glue Sprayer - Efficient And Stable Glue Dispensing</t>
  </si>
  <si>
    <t>KSh 1,190</t>
  </si>
  <si>
    <t>KSh 1,785</t>
  </si>
  <si>
    <t>Car Phone Charging Stand</t>
  </si>
  <si>
    <t>KSh 671</t>
  </si>
  <si>
    <t>KSh 1,316</t>
  </si>
  <si>
    <t>2pcs Solar Street Light Flood Light Outdoor</t>
  </si>
  <si>
    <t>KSh 1,200</t>
  </si>
  <si>
    <t>KSh 1,950</t>
  </si>
  <si>
    <t>Creative Owl Shape Keychain Black</t>
  </si>
  <si>
    <t>KSh 199</t>
  </si>
  <si>
    <t>KSh 504</t>
  </si>
  <si>
    <t>Brush &amp; Paintbrush Cleaning Tool Pink</t>
  </si>
  <si>
    <t>KSh 299</t>
  </si>
  <si>
    <t>KSh 600</t>
  </si>
  <si>
    <t>Pen Grips For Kids Pen Grip Posture Correction Tool For Kids</t>
  </si>
  <si>
    <t>KSh 1,660</t>
  </si>
  <si>
    <t>KSh 1,699</t>
  </si>
  <si>
    <t>Pilates Cloth Bag Waterproof Durable High Capacity Purple</t>
  </si>
  <si>
    <t>KSh 384</t>
  </si>
  <si>
    <t>Multi-purpose Rice Drainage Basket And Fruit And Vegetable Drainage Sieve</t>
  </si>
  <si>
    <t>KSh 1,459</t>
  </si>
  <si>
    <t>KSh 1,499</t>
  </si>
  <si>
    <t>Cute Christmas Fence Garden Decorations For Holiday Home</t>
  </si>
  <si>
    <t>KSh 1,343</t>
  </si>
  <si>
    <t>Simple Metal Dog Art Sculpture Decoration For Home Office</t>
  </si>
  <si>
    <t>KSh 499</t>
  </si>
  <si>
    <t>KSh 900</t>
  </si>
  <si>
    <t>Christmas Fence Garden Decorations Outdoor For Holiday Home</t>
  </si>
  <si>
    <t>KSh 699</t>
  </si>
  <si>
    <t>Angle Measuring Tool Full Metal Multi Angle Measuring Tool</t>
  </si>
  <si>
    <t>KSh 1,567</t>
  </si>
  <si>
    <t>12V 19500rpm Handheld Electric Angle Grinder Tool - UK - Yellow/Black</t>
  </si>
  <si>
    <t>KSh 2,799</t>
  </si>
  <si>
    <t>KSh 3,810</t>
  </si>
  <si>
    <t>KSh 399</t>
  </si>
  <si>
    <t>KSh 896</t>
  </si>
  <si>
    <t>5 Pieces/set Of Stainless Steel Induction Cooker Pots</t>
  </si>
  <si>
    <t>KSh 2,170</t>
  </si>
  <si>
    <t>KSh 2,500</t>
  </si>
  <si>
    <t>2.5 out of 5</t>
  </si>
  <si>
    <t>Mythco 120COB Solar Wall Ligt With Motion Sensor And Remote Control 3 Modes</t>
  </si>
  <si>
    <t>KSh 458</t>
  </si>
  <si>
    <t>KSh 986</t>
  </si>
  <si>
    <t>3 out of 5</t>
  </si>
  <si>
    <t>5-PCS Stainless Steel Cooking Pot Set With Steamed Slices</t>
  </si>
  <si>
    <t>KSh 2,115</t>
  </si>
  <si>
    <t>KSh 4,700</t>
  </si>
  <si>
    <t>2.1 out of 5</t>
  </si>
  <si>
    <t>120W Cordless Vacuum Cleaners Handheld Electric Vacuum Cleaner</t>
  </si>
  <si>
    <t>KSh 445</t>
  </si>
  <si>
    <t>KSh 873</t>
  </si>
  <si>
    <t>2.8 out of 5</t>
  </si>
  <si>
    <t>Intelligent  LED Body Sensor Wireless Lighting Night Light USB</t>
  </si>
  <si>
    <t>KSh 325</t>
  </si>
  <si>
    <t>KSh 680</t>
  </si>
  <si>
    <t>2.7 out of 5</t>
  </si>
  <si>
    <t>VIC Wireless Vacuum Cleaner Dual Use For Home And Car 120W High Power Powerful</t>
  </si>
  <si>
    <t>KSh 1,220</t>
  </si>
  <si>
    <t>KSh 1,555</t>
  </si>
  <si>
    <t>2.9 out of 5</t>
  </si>
  <si>
    <t>Artificial Potted Flowers Room Decorative Flowers (2 Pieces)</t>
  </si>
  <si>
    <t>KSh 1,814</t>
  </si>
  <si>
    <t>2.2 out of 5</t>
  </si>
  <si>
    <t>380ML USB Rechargeable Portable Small Blenders And Juicers</t>
  </si>
  <si>
    <t>KSh 1,000</t>
  </si>
  <si>
    <t>2.3 out of 5</t>
  </si>
  <si>
    <t>32PCS Portable Cordless Drill Set With Cyclic Battery Drive -26 Variable Speed</t>
  </si>
  <si>
    <t>KSh 3,750</t>
  </si>
  <si>
    <t>KSh 6,143</t>
  </si>
  <si>
    <t>Agapeon Toothbrush Holder And Toothpaste Dispenser</t>
  </si>
  <si>
    <t>KSh 700</t>
  </si>
  <si>
    <t>2.6 out of 5</t>
  </si>
  <si>
    <t>Large Lazy Inflatable Sofa Chairs PVC Lounger Seat Bag</t>
  </si>
  <si>
    <t>KSh 2,300</t>
  </si>
  <si>
    <t>KSh 3,240</t>
  </si>
  <si>
    <t>Watercolour Gold Foil Textured Print Pillow Cover</t>
  </si>
  <si>
    <t>KSh 345</t>
  </si>
  <si>
    <t>KSh 602</t>
  </si>
  <si>
    <t>Wrought Iron Bathroom Shelf Wall Mounted Free Punch Toilet Rack</t>
  </si>
  <si>
    <t>KSh 509</t>
  </si>
  <si>
    <t>KSh 899</t>
  </si>
  <si>
    <t>7-piece Set Of Storage Bags, Travel Storage Bags, Shoe Bags</t>
  </si>
  <si>
    <t>KSh 968</t>
  </si>
  <si>
    <t>Electric LED UV Mosquito Killer Lamp, Outdoor/Indoor Fly Killer Trap Light -USB</t>
  </si>
  <si>
    <t>KSh 1,570</t>
  </si>
  <si>
    <t>KSh 2,988</t>
  </si>
  <si>
    <t>2PCS/LOT Solar LED Outdoor Intelligent Light Controlled Wall Lamp</t>
  </si>
  <si>
    <t>KSh 790</t>
  </si>
  <si>
    <t>KSh 1,485</t>
  </si>
  <si>
    <t>3PCS Rotary Scraper Thermomix For Kitchen</t>
  </si>
  <si>
    <t>KSh 690</t>
  </si>
  <si>
    <t>Cushion Silicone Butt Cushion Summer Ice Cushion Honeycomb Gel Cushion</t>
  </si>
  <si>
    <t>KSh 1,732</t>
  </si>
  <si>
    <t>KSh 1,799</t>
  </si>
  <si>
    <t>7PCS Silicone Thumb Knife Finger Protector Vegetable Harvesting Knife</t>
  </si>
  <si>
    <t>KSh 230</t>
  </si>
  <si>
    <t>KSh 450</t>
  </si>
  <si>
    <t>Memory Foam Neck Pillow Cover, With Pillow Core - 50*30cm</t>
  </si>
  <si>
    <t>KSh 1,189</t>
  </si>
  <si>
    <t>Bedroom Simple Floor Hanging Clothes Rack Single Pole Hat Rack - White</t>
  </si>
  <si>
    <t>KSh 979</t>
  </si>
  <si>
    <t>KSh 1,920</t>
  </si>
  <si>
    <t>5m Waterproof Spherical LED String Lights Outdoor Ball Chain Lights Party Lighting Decoration Adjustable</t>
  </si>
  <si>
    <t>KSh 1,460</t>
  </si>
  <si>
    <t>KSh 2,290</t>
  </si>
  <si>
    <t>2 Pairs Cowhide Split Leather Work Gloves.32â„‰ Or Above Welding Gloves</t>
  </si>
  <si>
    <t>KSh 1,666</t>
  </si>
  <si>
    <t>Household Pineapple Peeler Peeler</t>
  </si>
  <si>
    <t>KSh 330</t>
  </si>
  <si>
    <t>KSh 176</t>
  </si>
  <si>
    <t>Office Chair Lumbar Back Support Spine Posture Correction Pillow Car Cushion</t>
  </si>
  <si>
    <t>KSh 1,466</t>
  </si>
  <si>
    <t>Cartoon Car Decoration Cute Individuality For Car Home Desk</t>
  </si>
  <si>
    <t>KSh 274</t>
  </si>
  <si>
    <t>KSh 537</t>
  </si>
  <si>
    <t>Outdoor Portable Water Bottle With Medicine Box - 600ML - Black</t>
  </si>
  <si>
    <t>KSh 657</t>
  </si>
  <si>
    <t>KSh 1,288</t>
  </si>
  <si>
    <t>Wall-Mounted Toothbrush Toothpaste Holder With Multiple Slots</t>
  </si>
  <si>
    <t>KSh 1,468</t>
  </si>
  <si>
    <t>Multifunctional Hanging Storage Box Storage Bag (4 Layers)</t>
  </si>
  <si>
    <t>KSh 630</t>
  </si>
  <si>
    <t>KSh 1,100</t>
  </si>
  <si>
    <t>Wall Clock With Hidden Safe Box</t>
  </si>
  <si>
    <t>KSh 850</t>
  </si>
  <si>
    <t>KSh 1,700</t>
  </si>
  <si>
    <t>Portable Wine Table With Folding Round Table</t>
  </si>
  <si>
    <t>KSh 1,300</t>
  </si>
  <si>
    <t>Sewing Machine Needle Threader Stitch Insertion Tool Automatic Quick Sewing</t>
  </si>
  <si>
    <t>KSh 105</t>
  </si>
  <si>
    <t>KSh 200</t>
  </si>
  <si>
    <t>6 Layers Steel Pipe Assembling Dustproof Storage Shoe Cabinet</t>
  </si>
  <si>
    <t>2PCS Ice Silk Square Cushion Cover Pillowcases - 65x65cm</t>
  </si>
  <si>
    <t>KSh 2,400</t>
  </si>
  <si>
    <t>Wall Mount Automatic Toothpaste Dispenser Toothbrush Holder Toothpaste Squeezer</t>
  </si>
  <si>
    <t>KSh 1,526</t>
  </si>
  <si>
    <t>Portable Soap Dispenser Kitchen Detergent Press Box Kitchen Tools</t>
  </si>
  <si>
    <t>KSh 1,462</t>
  </si>
  <si>
    <t>4 Piece Coloured Stainless Steel Kitchenware Set</t>
  </si>
  <si>
    <t>KSh 248</t>
  </si>
  <si>
    <t>KSh 486</t>
  </si>
  <si>
    <t>Metal Wall Clock Silver Dial Crystal Jewelry Round Home Decoration Wall Clock</t>
  </si>
  <si>
    <t>KSh 3,546</t>
  </si>
  <si>
    <t>Baby Early Education Shape And Color Cognitive Training Toys</t>
  </si>
  <si>
    <t>KSh 525</t>
  </si>
  <si>
    <t>KSh 1,029</t>
  </si>
  <si>
    <t>8in1 Screwdriver With LED Light</t>
  </si>
  <si>
    <t>KSh 1,080</t>
  </si>
  <si>
    <t>KSh 1,874</t>
  </si>
  <si>
    <t>Konka Healty Electric Kettle, 24-hour Heat Preservation,1.5L,800W, White</t>
  </si>
  <si>
    <t>KSh 3,640</t>
  </si>
  <si>
    <t>KSh 4,588</t>
  </si>
  <si>
    <t>9pcs Gas Mask, For Painting, Dust, Formaldehyde Grinding, Polishing</t>
  </si>
  <si>
    <t>KSh 1,420</t>
  </si>
  <si>
    <t>KSh 2,420</t>
  </si>
  <si>
    <t>24 Grid Wall-mounted Sundries Organiser Fabric Closet Bag Storage Rack</t>
  </si>
  <si>
    <t>KSh 1,875</t>
  </si>
  <si>
    <t>KSh 1,899</t>
  </si>
  <si>
    <t>1PC Refrigerator Food Seal Pocket Fridge Bags</t>
  </si>
  <si>
    <t>KSh 198</t>
  </si>
  <si>
    <t>KSh 260</t>
  </si>
  <si>
    <t>LED Solar Street Light-fake Camera</t>
  </si>
  <si>
    <t>KSh 1,150</t>
  </si>
  <si>
    <t>KSh 1,737</t>
  </si>
  <si>
    <t>Cartoon Embroidered Mini Towel Bear Cotton Wash Cloth Hand 4pcs</t>
  </si>
  <si>
    <t>KSh 1,810</t>
  </si>
  <si>
    <t>Shower Nozzle Cleaning Unclogging Needle Mini Crevice Small Hole Cleaning Brush</t>
  </si>
  <si>
    <t>KSh 1,658</t>
  </si>
  <si>
    <t>Thickening Multipurpose Non Stick Easy To Clean Heat Resistant Spoon Pad</t>
  </si>
  <si>
    <t>KSh 1,768</t>
  </si>
  <si>
    <t>6 In 1 Bottle Can Opener Multifunctional Easy Opener</t>
  </si>
  <si>
    <t>KSh 553</t>
  </si>
  <si>
    <t>Wall-mounted Sticker Punch-free Plug Fixer</t>
  </si>
  <si>
    <t>2 out of 5</t>
  </si>
  <si>
    <t>Black Simple Water Cup Wine Coaster Anti Slip Absorbent</t>
  </si>
  <si>
    <t>KSh 169</t>
  </si>
  <si>
    <t>KSh 320</t>
  </si>
  <si>
    <t>115 Piece Set Of Multifunctional Precision Screwdrivers</t>
  </si>
  <si>
    <t>Lasa Folding Table Serving Stand</t>
  </si>
  <si>
    <t>Lasa Digital Thermometer And Hydrometer</t>
  </si>
  <si>
    <t>Anti-Skid Absorbent Insulation Coaster For Home Office</t>
  </si>
  <si>
    <t>Peacock Throw Pillow Cushion Case For Home Car</t>
  </si>
  <si>
    <t>Lasa Aluminum Folding Truck Hand Cart - 68Kg Max</t>
  </si>
  <si>
    <t>3Pcs Single Head Knitting Crochet Sweater Needle Set</t>
  </si>
  <si>
    <t>4Pcs Bathroom/Kitchen Towel Rack,Roll Paper Holder,Towel Bars,Hook</t>
  </si>
  <si>
    <t>Lasa 3 Tier Bamboo Shoe Bench Storage Shelf</t>
  </si>
  <si>
    <t>Multifunctional Storage Rack Multi-Layer Bookshelf</t>
  </si>
  <si>
    <t>Punch-Free Great Load Bearing Bathroom Storage Rack Wall Shelf-White</t>
  </si>
  <si>
    <t>Lasa Stainless Steel Double Wall Mount Soap Dispenser - 500Ml</t>
  </si>
  <si>
    <t>Modern Sofa Throw Pillow Cover-45X45Cm-Blue&amp;Red</t>
  </si>
  <si>
    <t>Balloon Insert, Birthday Party Balloon Set, Pu Leather</t>
  </si>
  <si>
    <t>2Pcs Solar Street Light Flood Light Outdoor</t>
  </si>
  <si>
    <t>Multi-Purpose Rice Drainage Basket And Fruit And Vegetable Drainage Sieve</t>
  </si>
  <si>
    <t>5 Pieces/Set Of Stainless Steel Induction Cooker Pots</t>
  </si>
  <si>
    <t>Mythco 120Cob Solar Wall Ligt With Motion Sensor And Remote Control 3 Modes</t>
  </si>
  <si>
    <t>5-Pcs Stainless Steel Cooking Pot Set With Steamed Slices</t>
  </si>
  <si>
    <t>Vic Wireless Vacuum Cleaner Dual Use For Home And Car 120W High Power Powerful</t>
  </si>
  <si>
    <t>32Pcs Portable Cordless Drill Set With Cyclic Battery Drive -26 Variable Speed</t>
  </si>
  <si>
    <t>7-Piece Set Of Storage Bags, Travel Storage Bags, Shoe Bags</t>
  </si>
  <si>
    <t>3Pcs Rotary Scraper Thermomix For Kitchen</t>
  </si>
  <si>
    <t>7Pcs Silicone Thumb Knife Finger Protector Vegetable Harvesting Knife</t>
  </si>
  <si>
    <t>Memory Foam Neck Pillow Cover, With Pillow Core - 50*30Cm</t>
  </si>
  <si>
    <t>2 Pairs Cowhide Split Leather Work Gloves.32Â„‰ Or Above Welding Gloves</t>
  </si>
  <si>
    <t>Outdoor Portable Water Bottle With Medicine Box - 600Ml - Black</t>
  </si>
  <si>
    <t>2Pcs Ice Silk Square Cushion Cover Pillowcases - 65X65Cm</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</si>
  <si>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</si>
  <si>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</si>
  <si>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</si>
  <si>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</si>
  <si>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Cartoon Embroidered Mini Towel Bear Cotton Wash Cloth Hand 4Pcs</t>
  </si>
  <si>
    <t>Wall-Mounted Sticker Punch-Free Plug Fixer</t>
  </si>
  <si>
    <t>Desk Foldable Fan Adjustable Fan Strong Wind 3 Gear USB</t>
  </si>
  <si>
    <t>380Ml USB Rechargeable Portable Small Blenders And Juicers</t>
  </si>
  <si>
    <t>LED Eye Protection Desk Lamp , Study, Reading, USB Fan - Double Pen Holder</t>
  </si>
  <si>
    <t>Intelligent LED Body Sensor Wireless Lighting Night Light USB</t>
  </si>
  <si>
    <t>2Pcs/Lot Solar LED Outdoor Intelligent Light ControlLED Wall Lamp</t>
  </si>
  <si>
    <t>5M Waterproof Spherical LED String Lights Outdoor Ball Chain Lights Party Lighting Decoration Adjustable</t>
  </si>
  <si>
    <t>8In1 Screwdriver With LED Light</t>
  </si>
  <si>
    <t>LED Solar Street Light-Fake Camera</t>
  </si>
  <si>
    <t>40Cm Gold DIY Acrylic Wall Sticker Clock</t>
  </si>
  <si>
    <t>12V 19500RPM Handheld Electric Angle Grinder Tool - UK - Yellow/Black</t>
  </si>
  <si>
    <t>Genebre 115 In 1 Screwdriver Repairing Tool Set For iphone Cellphone Hand Tool</t>
  </si>
  <si>
    <t>Rating</t>
  </si>
  <si>
    <t/>
  </si>
  <si>
    <t>Rating category</t>
  </si>
  <si>
    <t>Discount category</t>
  </si>
  <si>
    <t>Discount  Amount</t>
  </si>
  <si>
    <t>old price (Ksh)</t>
  </si>
  <si>
    <t>Current price (Ksh)</t>
  </si>
  <si>
    <t>Total Products</t>
  </si>
  <si>
    <r>
      <rPr>
        <b/>
        <sz val="10"/>
        <color theme="1"/>
        <rFont val="Aptos Narrow"/>
        <family val="2"/>
        <scheme val="minor"/>
      </rPr>
      <t>KEY PERFORMANCE INDICATOR</t>
    </r>
    <r>
      <rPr>
        <b/>
        <sz val="11"/>
        <color theme="1"/>
        <rFont val="Aptos Narrow"/>
        <family val="2"/>
        <scheme val="minor"/>
      </rPr>
      <t>S</t>
    </r>
  </si>
  <si>
    <t>Average Price (KSh)</t>
  </si>
  <si>
    <t>Average Discount</t>
  </si>
  <si>
    <t>Average Rating</t>
  </si>
  <si>
    <t>Total Reviews</t>
  </si>
  <si>
    <t>Correlations</t>
  </si>
  <si>
    <t>Rating vs Reviews (Q2)</t>
  </si>
  <si>
    <t>Prices vs Rating (Q3)</t>
  </si>
  <si>
    <t>Discount vs Reviews Q1</t>
  </si>
  <si>
    <t>Top 10 By Rating</t>
  </si>
  <si>
    <t>Rank</t>
  </si>
  <si>
    <t>Rating Rank Key</t>
  </si>
  <si>
    <t>Real Rating</t>
  </si>
  <si>
    <t>Value</t>
  </si>
  <si>
    <t>Top 10 By Reviews</t>
  </si>
  <si>
    <t>Poduct</t>
  </si>
  <si>
    <t>Review Rank key</t>
  </si>
  <si>
    <t>Sort key</t>
  </si>
  <si>
    <t>Review count</t>
  </si>
  <si>
    <t>Top 10 Discount</t>
  </si>
  <si>
    <t>Sort Key</t>
  </si>
  <si>
    <t>Discount (%)</t>
  </si>
  <si>
    <t>Discount Rank Key</t>
  </si>
  <si>
    <t>Column1</t>
  </si>
  <si>
    <t>Column2</t>
  </si>
  <si>
    <t>Column3</t>
  </si>
  <si>
    <t>Row Labels</t>
  </si>
  <si>
    <t>High Discount</t>
  </si>
  <si>
    <t>Low Discount</t>
  </si>
  <si>
    <t>Medium Discount</t>
  </si>
  <si>
    <t>Grand Total</t>
  </si>
  <si>
    <t>Count of Product</t>
  </si>
  <si>
    <t>Discount Mix</t>
  </si>
  <si>
    <t>Rating Mix</t>
  </si>
  <si>
    <t>Average</t>
  </si>
  <si>
    <t>Excellent</t>
  </si>
  <si>
    <t>Missing</t>
  </si>
  <si>
    <t>Poor</t>
  </si>
  <si>
    <t>Engagement by Discount</t>
  </si>
  <si>
    <t>Sum of Review</t>
  </si>
  <si>
    <t>Average of Review</t>
  </si>
  <si>
    <t>Average of Rating</t>
  </si>
  <si>
    <t>Top Products by Rating</t>
  </si>
  <si>
    <t>Top Products by Reviews</t>
  </si>
  <si>
    <t>Avg Price (KSh)</t>
  </si>
  <si>
    <t xml:space="preserve">Avg Discount </t>
  </si>
  <si>
    <t>Avg Rating</t>
  </si>
  <si>
    <t>Total Review</t>
  </si>
  <si>
    <t>Average of Discount</t>
  </si>
  <si>
    <t>Top Products by Discount</t>
  </si>
  <si>
    <t>Key Insights</t>
  </si>
  <si>
    <t>Fied Defination</t>
  </si>
  <si>
    <t>Field Name</t>
  </si>
  <si>
    <t>Meaning</t>
  </si>
  <si>
    <t>Cleaned Data Type</t>
  </si>
  <si>
    <t>Product name/title as listed on Jumia</t>
  </si>
  <si>
    <t>Current selling price after discount</t>
  </si>
  <si>
    <t>Original price before discount</t>
  </si>
  <si>
    <t>Advertised percentage discount</t>
  </si>
  <si>
    <t>Number of customer reviews</t>
  </si>
  <si>
    <t>Average customer rating out of 5</t>
  </si>
  <si>
    <t>Text</t>
  </si>
  <si>
    <t>Number/Currency</t>
  </si>
  <si>
    <t>Percentage</t>
  </si>
  <si>
    <t xml:space="preserve">Whole Number </t>
  </si>
  <si>
    <t>Decimal Number</t>
  </si>
  <si>
    <t xml:space="preserve">                         Cleaning Log</t>
  </si>
  <si>
    <t>Issue</t>
  </si>
  <si>
    <t>Double spaces &amp; inconsistent casing in product names</t>
  </si>
  <si>
    <t>Lowercase/incorrect acronyms such as Usb, Led, Uv, etc.</t>
  </si>
  <si>
    <t>Prices stored as text with "KSh" prefix and commas</t>
  </si>
  <si>
    <t>Review counts stored as negative numbers</t>
  </si>
  <si>
    <t>One price stored as a range e.g., 1,620 - 1,980</t>
  </si>
  <si>
    <t>Rating stored as text ("4.5 out of 5")</t>
  </si>
  <si>
    <t>Missing Rating/Review values</t>
  </si>
  <si>
    <t>Header "Ratingd" misspelled</t>
  </si>
  <si>
    <t>Rows Affected</t>
  </si>
  <si>
    <t>All 115</t>
  </si>
  <si>
    <t>~15</t>
  </si>
  <si>
    <t>~50</t>
  </si>
  <si>
    <t>1</t>
  </si>
  <si>
    <t>1 (header)</t>
  </si>
  <si>
    <t>Decision</t>
  </si>
  <si>
    <t>Applied PROPER(TRIM())</t>
  </si>
  <si>
    <t>Find &amp; Replace to correct casing</t>
  </si>
  <si>
    <t>Removed "KSh" and commas, converted to number</t>
  </si>
  <si>
    <t>Converted to absolute/whole numbers</t>
  </si>
  <si>
    <t>Used the lower bound value</t>
  </si>
  <si>
    <t>Extracted numeric value via formula</t>
  </si>
  <si>
    <t>Left blank, excluded from averages/correlations</t>
  </si>
  <si>
    <t>Reason</t>
  </si>
  <si>
    <t>Standardize text formatting for readability</t>
  </si>
  <si>
    <t>PROPER() incorrectly lowercased known acronyms</t>
  </si>
  <si>
    <t>Needed numeric values for calculations</t>
  </si>
  <si>
    <t>Negative sign was a scraping artifact; review counts cannot be negative</t>
  </si>
  <si>
    <t>Simplest defensible choice to keep data numeric and comparable</t>
  </si>
  <si>
    <t>Needed decimal number for calculations</t>
  </si>
  <si>
    <t>Blank means not captured, thus, not zero avoids skewing statistics</t>
  </si>
  <si>
    <t>Correct labeling for clarity</t>
  </si>
  <si>
    <r>
      <rPr>
        <b/>
        <sz val="11"/>
        <color theme="1"/>
        <rFont val="Aptos Narrow"/>
        <family val="2"/>
        <scheme val="minor"/>
      </rPr>
      <t>Category Threshold</t>
    </r>
    <r>
      <rPr>
        <sz val="11"/>
        <color theme="1"/>
        <rFont val="Aptos Narrow"/>
        <family val="2"/>
        <scheme val="minor"/>
      </rPr>
      <t>s</t>
    </r>
  </si>
  <si>
    <t>Rating Category:</t>
  </si>
  <si>
    <t>Poor: below 3</t>
  </si>
  <si>
    <t>Average: 3 to 4.5</t>
  </si>
  <si>
    <t>Excellent: above 4.5</t>
  </si>
  <si>
    <t>Discount Category:</t>
  </si>
  <si>
    <t>Low Discount: below 20%</t>
  </si>
  <si>
    <t>Medium Discount: 20% to 40%</t>
  </si>
  <si>
    <t>High Discount: above 40%</t>
  </si>
  <si>
    <t>Products Needing Pricing/Marketing Attention</t>
  </si>
  <si>
    <t>Discount Category</t>
  </si>
  <si>
    <t>Rating Category</t>
  </si>
  <si>
    <t>Discount vs Rating Cross-tab</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</si>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</sst>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0"/>
      <color theme="1"/>
      <name val="Aptos Narrow"/>
      <family val="2"/>
      <scheme val="minor"/>
    </font>
    <font>
      <sz val="8"/>
      <name val="Aptos Narrow"/>
      <family val="2"/>
      <scheme val="minor"/>
    </font>
    <font>
      <b/>
      <sz val="12"/>
      <color theme="1"/>
      <name val="Aptos Narrow"/>
      <family val="2"/>
      <scheme val="minor"/>
    </font>
    <font>
      <sz val="12"/>
      <color theme="1"/>
      <name val="Aptos Narrow"/>
      <family val="2"/>
      <scheme val="minor"/>
    </font>
    <font>
      <sz val="20"/>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9" fontId="0" fillId="0" borderId="0" xfId="0" applyNumberFormat="1"/>
    <xf numFmtId="2" fontId="0" fillId="0" borderId="0" xfId="0" applyNumberFormat="1"/>
    <xf numFmtId="10" fontId="0" fillId="0" borderId="0" xfId="0" applyNumberFormat="1"/>
    <xf numFmtId="1" fontId="0" fillId="0" borderId="0" xfId="0" applyNumberFormat="1"/>
    <xf numFmtId="0" fontId="0" fillId="0" borderId="0" xfId="0" applyFont="1"/>
    <xf numFmtId="0" fontId="0" fillId="0" borderId="0" xfId="0" applyFont="1" applyFill="1"/>
    <xf numFmtId="2" fontId="0" fillId="0" borderId="0" xfId="0" applyNumberFormat="1" applyFont="1" applyFill="1"/>
    <xf numFmtId="10" fontId="0" fillId="0" borderId="0" xfId="0" applyNumberFormat="1" applyFont="1" applyFill="1"/>
    <xf numFmtId="1" fontId="0" fillId="0" borderId="0" xfId="0" applyNumberFormat="1" applyFont="1" applyFill="1"/>
    <xf numFmtId="0" fontId="16" fillId="0" borderId="0" xfId="0" applyFont="1"/>
    <xf numFmtId="0" fontId="0" fillId="0" borderId="0" xfId="0" applyNumberFormat="1"/>
    <xf numFmtId="0" fontId="0" fillId="0" borderId="0" xfId="0" pivotButton="1"/>
    <xf numFmtId="0" fontId="0" fillId="0" borderId="0" xfId="0" applyAlignment="1">
      <alignment horizontal="left"/>
    </xf>
    <xf numFmtId="0" fontId="16" fillId="0" borderId="0" xfId="0" applyFont="1" applyAlignment="1"/>
    <xf numFmtId="0" fontId="0" fillId="0" borderId="0" xfId="0" applyAlignment="1">
      <alignment wrapText="1"/>
    </xf>
    <xf numFmtId="0" fontId="0" fillId="0" borderId="10" xfId="0" applyBorder="1"/>
    <xf numFmtId="49" fontId="0" fillId="0" borderId="0" xfId="0" applyNumberFormat="1"/>
    <xf numFmtId="0" fontId="0" fillId="0" borderId="10" xfId="0" applyBorder="1" applyAlignment="1">
      <alignment wrapText="1"/>
    </xf>
    <xf numFmtId="0" fontId="16" fillId="35" borderId="0" xfId="0" applyFont="1" applyFill="1"/>
    <xf numFmtId="0" fontId="16" fillId="0" borderId="0" xfId="0" applyFont="1" applyAlignment="1">
      <alignment horizontal="center"/>
    </xf>
    <xf numFmtId="0" fontId="0" fillId="0" borderId="0" xfId="0" applyAlignment="1">
      <alignment horizontal="center"/>
    </xf>
    <xf numFmtId="0" fontId="22" fillId="0" borderId="0" xfId="0" applyFont="1" applyAlignment="1">
      <alignment horizontal="center"/>
    </xf>
    <xf numFmtId="0" fontId="20" fillId="33" borderId="10" xfId="0" applyFont="1" applyFill="1" applyBorder="1" applyAlignment="1">
      <alignment horizontal="center" vertical="center" wrapText="1"/>
    </xf>
    <xf numFmtId="1" fontId="21" fillId="34" borderId="10" xfId="0" applyNumberFormat="1" applyFont="1" applyFill="1" applyBorder="1" applyAlignment="1">
      <alignment horizontal="center" vertical="center"/>
    </xf>
    <xf numFmtId="0" fontId="21" fillId="34" borderId="10" xfId="0" applyFont="1" applyFill="1" applyBorder="1" applyAlignment="1">
      <alignment horizontal="center" vertical="center"/>
    </xf>
    <xf numFmtId="0" fontId="20" fillId="33" borderId="10" xfId="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dxf>
    <dxf>
      <font>
        <b/>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0" formatCode="General"/>
    </dxf>
    <dxf>
      <numFmt numFmtId="2" formatCode="0.00"/>
    </dxf>
    <dxf>
      <numFmt numFmtId="0" formatCode="General"/>
    </dxf>
    <dxf>
      <numFmt numFmtId="0" formatCode="General"/>
    </dxf>
    <dxf>
      <numFmt numFmtId="1" formatCode="0"/>
    </dxf>
    <dxf>
      <numFmt numFmtId="14" formatCode="0.00%"/>
    </dxf>
    <dxf>
      <numFmt numFmtId="2" formatCode="0.00"/>
    </dxf>
    <dxf>
      <numFmt numFmtId="2" formatCode="0.00"/>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Discount % vs Reviews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0358705161854768E-2"/>
          <c:y val="0.15782407407407409"/>
          <c:w val="0.86488429571303582"/>
          <c:h val="0.72125801983085447"/>
        </c:manualLayout>
      </c:layout>
      <c:scatterChart>
        <c:scatterStyle val="lineMarker"/>
        <c:varyColors val="0"/>
        <c:ser>
          <c:idx val="0"/>
          <c:order val="0"/>
          <c:tx>
            <c:strRef>
              <c:f>Cleaned!$E$1</c:f>
              <c:strCache>
                <c:ptCount val="1"/>
                <c:pt idx="0">
                  <c:v>Review</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3.086220472440945E-2"/>
                  <c:y val="-0.1699347477398658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Cleaned!$D$2:$D$116</c:f>
              <c:numCache>
                <c:formatCode>0.00%</c:formatCode>
                <c:ptCount val="115"/>
                <c:pt idx="0">
                  <c:v>0.38</c:v>
                </c:pt>
                <c:pt idx="1">
                  <c:v>0.47</c:v>
                </c:pt>
                <c:pt idx="2">
                  <c:v>0.25</c:v>
                </c:pt>
                <c:pt idx="3">
                  <c:v>0.37</c:v>
                </c:pt>
                <c:pt idx="4">
                  <c:v>0.26</c:v>
                </c:pt>
                <c:pt idx="5">
                  <c:v>0.09</c:v>
                </c:pt>
                <c:pt idx="6">
                  <c:v>0.24</c:v>
                </c:pt>
                <c:pt idx="7">
                  <c:v>0.37</c:v>
                </c:pt>
                <c:pt idx="8">
                  <c:v>0.55000000000000004</c:v>
                </c:pt>
                <c:pt idx="9">
                  <c:v>0.45</c:v>
                </c:pt>
                <c:pt idx="10">
                  <c:v>0.2</c:v>
                </c:pt>
                <c:pt idx="11">
                  <c:v>0.34</c:v>
                </c:pt>
                <c:pt idx="12">
                  <c:v>0.47</c:v>
                </c:pt>
                <c:pt idx="13">
                  <c:v>0.42</c:v>
                </c:pt>
                <c:pt idx="14">
                  <c:v>0.33</c:v>
                </c:pt>
                <c:pt idx="15">
                  <c:v>0.51</c:v>
                </c:pt>
                <c:pt idx="16">
                  <c:v>0.46</c:v>
                </c:pt>
                <c:pt idx="17">
                  <c:v>0.49</c:v>
                </c:pt>
                <c:pt idx="18">
                  <c:v>0.19</c:v>
                </c:pt>
                <c:pt idx="19">
                  <c:v>0.49</c:v>
                </c:pt>
                <c:pt idx="20">
                  <c:v>0.53</c:v>
                </c:pt>
                <c:pt idx="21">
                  <c:v>0.42</c:v>
                </c:pt>
                <c:pt idx="22">
                  <c:v>0.35</c:v>
                </c:pt>
                <c:pt idx="23">
                  <c:v>0.23</c:v>
                </c:pt>
                <c:pt idx="24">
                  <c:v>0.54</c:v>
                </c:pt>
                <c:pt idx="25">
                  <c:v>0.35</c:v>
                </c:pt>
                <c:pt idx="26">
                  <c:v>0.18</c:v>
                </c:pt>
                <c:pt idx="27">
                  <c:v>0.32</c:v>
                </c:pt>
                <c:pt idx="28">
                  <c:v>0.3</c:v>
                </c:pt>
                <c:pt idx="29">
                  <c:v>0.46</c:v>
                </c:pt>
                <c:pt idx="30">
                  <c:v>0.52</c:v>
                </c:pt>
                <c:pt idx="31">
                  <c:v>0.34</c:v>
                </c:pt>
                <c:pt idx="32">
                  <c:v>0.48</c:v>
                </c:pt>
                <c:pt idx="33">
                  <c:v>0.27</c:v>
                </c:pt>
                <c:pt idx="34">
                  <c:v>0.27</c:v>
                </c:pt>
                <c:pt idx="35">
                  <c:v>0.4</c:v>
                </c:pt>
                <c:pt idx="36">
                  <c:v>0.53</c:v>
                </c:pt>
                <c:pt idx="37">
                  <c:v>0.41</c:v>
                </c:pt>
                <c:pt idx="38">
                  <c:v>0.38</c:v>
                </c:pt>
                <c:pt idx="39">
                  <c:v>0.38</c:v>
                </c:pt>
                <c:pt idx="40">
                  <c:v>0.49</c:v>
                </c:pt>
                <c:pt idx="41">
                  <c:v>0.5</c:v>
                </c:pt>
                <c:pt idx="42">
                  <c:v>0.42</c:v>
                </c:pt>
                <c:pt idx="43">
                  <c:v>0.42</c:v>
                </c:pt>
                <c:pt idx="44">
                  <c:v>0.02</c:v>
                </c:pt>
                <c:pt idx="45">
                  <c:v>0.5</c:v>
                </c:pt>
                <c:pt idx="46">
                  <c:v>0.33</c:v>
                </c:pt>
                <c:pt idx="47">
                  <c:v>0.49</c:v>
                </c:pt>
                <c:pt idx="48">
                  <c:v>0.38</c:v>
                </c:pt>
                <c:pt idx="49">
                  <c:v>0.61</c:v>
                </c:pt>
                <c:pt idx="50">
                  <c:v>0.5</c:v>
                </c:pt>
                <c:pt idx="51">
                  <c:v>0.02</c:v>
                </c:pt>
                <c:pt idx="52">
                  <c:v>0.22</c:v>
                </c:pt>
                <c:pt idx="53">
                  <c:v>0.03</c:v>
                </c:pt>
                <c:pt idx="54">
                  <c:v>0.41</c:v>
                </c:pt>
                <c:pt idx="55">
                  <c:v>0.45</c:v>
                </c:pt>
                <c:pt idx="56">
                  <c:v>0.48</c:v>
                </c:pt>
                <c:pt idx="57">
                  <c:v>0.49</c:v>
                </c:pt>
                <c:pt idx="58">
                  <c:v>0.27</c:v>
                </c:pt>
                <c:pt idx="59">
                  <c:v>0.55000000000000004</c:v>
                </c:pt>
                <c:pt idx="60">
                  <c:v>0.13</c:v>
                </c:pt>
                <c:pt idx="61">
                  <c:v>0.54</c:v>
                </c:pt>
                <c:pt idx="62">
                  <c:v>0.55000000000000004</c:v>
                </c:pt>
                <c:pt idx="63">
                  <c:v>0.49</c:v>
                </c:pt>
                <c:pt idx="64">
                  <c:v>0.52</c:v>
                </c:pt>
                <c:pt idx="65">
                  <c:v>0.22</c:v>
                </c:pt>
                <c:pt idx="66">
                  <c:v>0.45</c:v>
                </c:pt>
                <c:pt idx="67">
                  <c:v>0.5</c:v>
                </c:pt>
                <c:pt idx="68">
                  <c:v>0.39</c:v>
                </c:pt>
                <c:pt idx="69">
                  <c:v>0.45</c:v>
                </c:pt>
                <c:pt idx="70">
                  <c:v>0.28999999999999998</c:v>
                </c:pt>
                <c:pt idx="71">
                  <c:v>0.43</c:v>
                </c:pt>
                <c:pt idx="72">
                  <c:v>0.43</c:v>
                </c:pt>
                <c:pt idx="73">
                  <c:v>0.47</c:v>
                </c:pt>
                <c:pt idx="74">
                  <c:v>0.47</c:v>
                </c:pt>
                <c:pt idx="75">
                  <c:v>0.47</c:v>
                </c:pt>
                <c:pt idx="76">
                  <c:v>0.43</c:v>
                </c:pt>
                <c:pt idx="77">
                  <c:v>0.04</c:v>
                </c:pt>
                <c:pt idx="78">
                  <c:v>0.49</c:v>
                </c:pt>
                <c:pt idx="79">
                  <c:v>0.46</c:v>
                </c:pt>
                <c:pt idx="80">
                  <c:v>0.49</c:v>
                </c:pt>
                <c:pt idx="81">
                  <c:v>0.36</c:v>
                </c:pt>
                <c:pt idx="82">
                  <c:v>0.02</c:v>
                </c:pt>
                <c:pt idx="83">
                  <c:v>0.49</c:v>
                </c:pt>
                <c:pt idx="84">
                  <c:v>0.42</c:v>
                </c:pt>
                <c:pt idx="85">
                  <c:v>0.49</c:v>
                </c:pt>
                <c:pt idx="86">
                  <c:v>0.14000000000000001</c:v>
                </c:pt>
                <c:pt idx="87">
                  <c:v>0.49</c:v>
                </c:pt>
                <c:pt idx="88">
                  <c:v>0.11</c:v>
                </c:pt>
                <c:pt idx="89">
                  <c:v>0.49</c:v>
                </c:pt>
                <c:pt idx="90">
                  <c:v>0.14000000000000001</c:v>
                </c:pt>
                <c:pt idx="91">
                  <c:v>0.43</c:v>
                </c:pt>
                <c:pt idx="92">
                  <c:v>0.5</c:v>
                </c:pt>
                <c:pt idx="93">
                  <c:v>0.48</c:v>
                </c:pt>
                <c:pt idx="94">
                  <c:v>0.48</c:v>
                </c:pt>
                <c:pt idx="95">
                  <c:v>0.47</c:v>
                </c:pt>
                <c:pt idx="96">
                  <c:v>0.47</c:v>
                </c:pt>
                <c:pt idx="97">
                  <c:v>0.5</c:v>
                </c:pt>
                <c:pt idx="98">
                  <c:v>0.08</c:v>
                </c:pt>
                <c:pt idx="99">
                  <c:v>0.02</c:v>
                </c:pt>
                <c:pt idx="100">
                  <c:v>0.49</c:v>
                </c:pt>
                <c:pt idx="101">
                  <c:v>0.04</c:v>
                </c:pt>
                <c:pt idx="102">
                  <c:v>0.49</c:v>
                </c:pt>
                <c:pt idx="103">
                  <c:v>0.42</c:v>
                </c:pt>
                <c:pt idx="104">
                  <c:v>0.21</c:v>
                </c:pt>
                <c:pt idx="105">
                  <c:v>0.41</c:v>
                </c:pt>
                <c:pt idx="106">
                  <c:v>0.01</c:v>
                </c:pt>
                <c:pt idx="107">
                  <c:v>0.24</c:v>
                </c:pt>
                <c:pt idx="108">
                  <c:v>0.34</c:v>
                </c:pt>
                <c:pt idx="109">
                  <c:v>0.34</c:v>
                </c:pt>
                <c:pt idx="110">
                  <c:v>0.02</c:v>
                </c:pt>
                <c:pt idx="111">
                  <c:v>0.02</c:v>
                </c:pt>
                <c:pt idx="112">
                  <c:v>0.64</c:v>
                </c:pt>
                <c:pt idx="113">
                  <c:v>0.5</c:v>
                </c:pt>
                <c:pt idx="114">
                  <c:v>0.47</c:v>
                </c:pt>
              </c:numCache>
            </c:numRef>
          </c:xVal>
          <c:yVal>
            <c:numRef>
              <c:f>Cleaned!$E$2:$E$116</c:f>
              <c:numCache>
                <c:formatCode>0</c:formatCode>
                <c:ptCount val="115"/>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60">
                  <c:v>6</c:v>
                </c:pt>
                <c:pt idx="61">
                  <c:v>10</c:v>
                </c:pt>
                <c:pt idx="62">
                  <c:v>13</c:v>
                </c:pt>
                <c:pt idx="63">
                  <c:v>69</c:v>
                </c:pt>
                <c:pt idx="64">
                  <c:v>15</c:v>
                </c:pt>
                <c:pt idx="65">
                  <c:v>16</c:v>
                </c:pt>
                <c:pt idx="66">
                  <c:v>6</c:v>
                </c:pt>
                <c:pt idx="67">
                  <c:v>7</c:v>
                </c:pt>
                <c:pt idx="68">
                  <c:v>5</c:v>
                </c:pt>
                <c:pt idx="69">
                  <c:v>17</c:v>
                </c:pt>
                <c:pt idx="70">
                  <c:v>5</c:v>
                </c:pt>
                <c:pt idx="71">
                  <c:v>6</c:v>
                </c:pt>
                <c:pt idx="72">
                  <c:v>5</c:v>
                </c:pt>
                <c:pt idx="73">
                  <c:v>6</c:v>
                </c:pt>
                <c:pt idx="74">
                  <c:v>7</c:v>
                </c:pt>
                <c:pt idx="79">
                  <c:v>1</c:v>
                </c:pt>
                <c:pt idx="80">
                  <c:v>1</c:v>
                </c:pt>
                <c:pt idx="83">
                  <c:v>1</c:v>
                </c:pt>
                <c:pt idx="104">
                  <c:v>1</c:v>
                </c:pt>
                <c:pt idx="113">
                  <c:v>1</c:v>
                </c:pt>
              </c:numCache>
            </c:numRef>
          </c:yVal>
          <c:smooth val="0"/>
          <c:extLst>
            <c:ext xmlns:c16="http://schemas.microsoft.com/office/drawing/2014/chart" uri="{C3380CC4-5D6E-409C-BE32-E72D297353CC}">
              <c16:uniqueId val="{00000000-CA3D-4AC0-9AA8-CD0CC3965F38}"/>
            </c:ext>
          </c:extLst>
        </c:ser>
        <c:dLbls>
          <c:showLegendKey val="0"/>
          <c:showVal val="0"/>
          <c:showCatName val="0"/>
          <c:showSerName val="0"/>
          <c:showPercent val="0"/>
          <c:showBubbleSize val="0"/>
        </c:dLbls>
        <c:axId val="564960"/>
        <c:axId val="2066009536"/>
      </c:scatterChart>
      <c:valAx>
        <c:axId val="56496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6009536"/>
        <c:crosses val="autoZero"/>
        <c:crossBetween val="midCat"/>
      </c:valAx>
      <c:valAx>
        <c:axId val="206600953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9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Rating vs Reviews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Cleaned!$F$1</c:f>
              <c:strCache>
                <c:ptCount val="1"/>
                <c:pt idx="0">
                  <c:v>Rating</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Cleaned!$E$2:$E$116</c:f>
              <c:numCache>
                <c:formatCode>0</c:formatCode>
                <c:ptCount val="115"/>
                <c:pt idx="0">
                  <c:v>2</c:v>
                </c:pt>
                <c:pt idx="1">
                  <c:v>14</c:v>
                </c:pt>
                <c:pt idx="2">
                  <c:v>24</c:v>
                </c:pt>
                <c:pt idx="3">
                  <c:v>7</c:v>
                </c:pt>
                <c:pt idx="4">
                  <c:v>5</c:v>
                </c:pt>
                <c:pt idx="5">
                  <c:v>15</c:v>
                </c:pt>
                <c:pt idx="6">
                  <c:v>55</c:v>
                </c:pt>
                <c:pt idx="7">
                  <c:v>2</c:v>
                </c:pt>
                <c:pt idx="8">
                  <c:v>5</c:v>
                </c:pt>
                <c:pt idx="9">
                  <c:v>5</c:v>
                </c:pt>
                <c:pt idx="10">
                  <c:v>12</c:v>
                </c:pt>
                <c:pt idx="11">
                  <c:v>39</c:v>
                </c:pt>
                <c:pt idx="12">
                  <c:v>12</c:v>
                </c:pt>
                <c:pt idx="13">
                  <c:v>6</c:v>
                </c:pt>
                <c:pt idx="14">
                  <c:v>9</c:v>
                </c:pt>
                <c:pt idx="15">
                  <c:v>2</c:v>
                </c:pt>
                <c:pt idx="16">
                  <c:v>2</c:v>
                </c:pt>
                <c:pt idx="17">
                  <c:v>3</c:v>
                </c:pt>
                <c:pt idx="18">
                  <c:v>5</c:v>
                </c:pt>
                <c:pt idx="19">
                  <c:v>44</c:v>
                </c:pt>
                <c:pt idx="20">
                  <c:v>13</c:v>
                </c:pt>
                <c:pt idx="22">
                  <c:v>6</c:v>
                </c:pt>
                <c:pt idx="23">
                  <c:v>14</c:v>
                </c:pt>
                <c:pt idx="24">
                  <c:v>7</c:v>
                </c:pt>
                <c:pt idx="25">
                  <c:v>49</c:v>
                </c:pt>
                <c:pt idx="26">
                  <c:v>12</c:v>
                </c:pt>
                <c:pt idx="27">
                  <c:v>13</c:v>
                </c:pt>
                <c:pt idx="28">
                  <c:v>20</c:v>
                </c:pt>
                <c:pt idx="30">
                  <c:v>9</c:v>
                </c:pt>
                <c:pt idx="31">
                  <c:v>12</c:v>
                </c:pt>
                <c:pt idx="32">
                  <c:v>9</c:v>
                </c:pt>
                <c:pt idx="33">
                  <c:v>20</c:v>
                </c:pt>
                <c:pt idx="34">
                  <c:v>32</c:v>
                </c:pt>
                <c:pt idx="35">
                  <c:v>1</c:v>
                </c:pt>
                <c:pt idx="36">
                  <c:v>2</c:v>
                </c:pt>
                <c:pt idx="37">
                  <c:v>36</c:v>
                </c:pt>
                <c:pt idx="38">
                  <c:v>2</c:v>
                </c:pt>
                <c:pt idx="60">
                  <c:v>6</c:v>
                </c:pt>
                <c:pt idx="61">
                  <c:v>10</c:v>
                </c:pt>
                <c:pt idx="62">
                  <c:v>13</c:v>
                </c:pt>
                <c:pt idx="63">
                  <c:v>69</c:v>
                </c:pt>
                <c:pt idx="64">
                  <c:v>15</c:v>
                </c:pt>
                <c:pt idx="65">
                  <c:v>16</c:v>
                </c:pt>
                <c:pt idx="66">
                  <c:v>6</c:v>
                </c:pt>
                <c:pt idx="67">
                  <c:v>7</c:v>
                </c:pt>
                <c:pt idx="68">
                  <c:v>5</c:v>
                </c:pt>
                <c:pt idx="69">
                  <c:v>17</c:v>
                </c:pt>
                <c:pt idx="70">
                  <c:v>5</c:v>
                </c:pt>
                <c:pt idx="71">
                  <c:v>6</c:v>
                </c:pt>
                <c:pt idx="72">
                  <c:v>5</c:v>
                </c:pt>
                <c:pt idx="73">
                  <c:v>6</c:v>
                </c:pt>
                <c:pt idx="74">
                  <c:v>7</c:v>
                </c:pt>
                <c:pt idx="79">
                  <c:v>1</c:v>
                </c:pt>
                <c:pt idx="80">
                  <c:v>1</c:v>
                </c:pt>
                <c:pt idx="83">
                  <c:v>1</c:v>
                </c:pt>
                <c:pt idx="104">
                  <c:v>1</c:v>
                </c:pt>
                <c:pt idx="113">
                  <c:v>1</c:v>
                </c:pt>
              </c:numCache>
            </c:numRef>
          </c:xVal>
          <c:yVal>
            <c:numRef>
              <c:f>Cleaned!$F$2:$F$116</c:f>
              <c:numCache>
                <c:formatCode>General</c:formatCode>
                <c:ptCount val="115"/>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2.5</c:v>
                </c:pt>
                <c:pt idx="61">
                  <c:v>3</c:v>
                </c:pt>
                <c:pt idx="62">
                  <c:v>2.1</c:v>
                </c:pt>
                <c:pt idx="63">
                  <c:v>2.8</c:v>
                </c:pt>
                <c:pt idx="64">
                  <c:v>2.7</c:v>
                </c:pt>
                <c:pt idx="65">
                  <c:v>2.9</c:v>
                </c:pt>
                <c:pt idx="66">
                  <c:v>2.2000000000000002</c:v>
                </c:pt>
                <c:pt idx="67">
                  <c:v>2.2999999999999998</c:v>
                </c:pt>
                <c:pt idx="68">
                  <c:v>3</c:v>
                </c:pt>
                <c:pt idx="69">
                  <c:v>2.6</c:v>
                </c:pt>
                <c:pt idx="70">
                  <c:v>3</c:v>
                </c:pt>
                <c:pt idx="71">
                  <c:v>2.2999999999999998</c:v>
                </c:pt>
                <c:pt idx="72">
                  <c:v>3</c:v>
                </c:pt>
                <c:pt idx="73">
                  <c:v>2.2000000000000002</c:v>
                </c:pt>
                <c:pt idx="74">
                  <c:v>2.1</c:v>
                </c:pt>
                <c:pt idx="75">
                  <c:v>0</c:v>
                </c:pt>
                <c:pt idx="76">
                  <c:v>0</c:v>
                </c:pt>
                <c:pt idx="77">
                  <c:v>0</c:v>
                </c:pt>
                <c:pt idx="78">
                  <c:v>0</c:v>
                </c:pt>
                <c:pt idx="79">
                  <c:v>3</c:v>
                </c:pt>
                <c:pt idx="80">
                  <c:v>5</c:v>
                </c:pt>
                <c:pt idx="81">
                  <c:v>0</c:v>
                </c:pt>
                <c:pt idx="82">
                  <c:v>0</c:v>
                </c:pt>
                <c:pt idx="83">
                  <c:v>4</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5</c:v>
                </c:pt>
                <c:pt idx="105">
                  <c:v>0</c:v>
                </c:pt>
                <c:pt idx="106">
                  <c:v>0</c:v>
                </c:pt>
                <c:pt idx="107">
                  <c:v>0</c:v>
                </c:pt>
                <c:pt idx="108">
                  <c:v>0</c:v>
                </c:pt>
                <c:pt idx="109">
                  <c:v>0</c:v>
                </c:pt>
                <c:pt idx="110">
                  <c:v>0</c:v>
                </c:pt>
                <c:pt idx="111">
                  <c:v>0</c:v>
                </c:pt>
                <c:pt idx="112">
                  <c:v>0</c:v>
                </c:pt>
                <c:pt idx="113">
                  <c:v>2</c:v>
                </c:pt>
                <c:pt idx="114">
                  <c:v>0</c:v>
                </c:pt>
              </c:numCache>
            </c:numRef>
          </c:yVal>
          <c:smooth val="0"/>
          <c:extLst>
            <c:ext xmlns:c16="http://schemas.microsoft.com/office/drawing/2014/chart" uri="{C3380CC4-5D6E-409C-BE32-E72D297353CC}">
              <c16:uniqueId val="{00000000-E6BC-4C66-AD7A-E5363680264A}"/>
            </c:ext>
          </c:extLst>
        </c:ser>
        <c:dLbls>
          <c:showLegendKey val="0"/>
          <c:showVal val="0"/>
          <c:showCatName val="0"/>
          <c:showSerName val="0"/>
          <c:showPercent val="0"/>
          <c:showBubbleSize val="0"/>
        </c:dLbls>
        <c:axId val="2049453680"/>
        <c:axId val="2049451760"/>
      </c:scatterChart>
      <c:valAx>
        <c:axId val="204945368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9451760"/>
        <c:crosses val="autoZero"/>
        <c:crossBetween val="midCat"/>
      </c:valAx>
      <c:valAx>
        <c:axId val="204945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945368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Price</a:t>
            </a:r>
            <a:r>
              <a:rPr lang="en-US" b="1" baseline="0"/>
              <a:t> vs Rating</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Cleaned!$F$1</c:f>
              <c:strCache>
                <c:ptCount val="1"/>
                <c:pt idx="0">
                  <c:v>Rating</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Cleaned!$B$2:$B$116</c:f>
              <c:numCache>
                <c:formatCode>0.00</c:formatCode>
                <c:ptCount val="115"/>
                <c:pt idx="0">
                  <c:v>950</c:v>
                </c:pt>
                <c:pt idx="1">
                  <c:v>527</c:v>
                </c:pt>
                <c:pt idx="2">
                  <c:v>2199</c:v>
                </c:pt>
                <c:pt idx="3">
                  <c:v>1580</c:v>
                </c:pt>
                <c:pt idx="4">
                  <c:v>1740</c:v>
                </c:pt>
                <c:pt idx="5">
                  <c:v>2999</c:v>
                </c:pt>
                <c:pt idx="6">
                  <c:v>2319</c:v>
                </c:pt>
                <c:pt idx="7">
                  <c:v>988</c:v>
                </c:pt>
                <c:pt idx="8">
                  <c:v>1274</c:v>
                </c:pt>
                <c:pt idx="9">
                  <c:v>1600</c:v>
                </c:pt>
                <c:pt idx="10">
                  <c:v>799</c:v>
                </c:pt>
                <c:pt idx="11">
                  <c:v>990</c:v>
                </c:pt>
                <c:pt idx="12">
                  <c:v>552</c:v>
                </c:pt>
                <c:pt idx="13">
                  <c:v>501</c:v>
                </c:pt>
                <c:pt idx="14">
                  <c:v>1680</c:v>
                </c:pt>
                <c:pt idx="15">
                  <c:v>332</c:v>
                </c:pt>
                <c:pt idx="16">
                  <c:v>195</c:v>
                </c:pt>
                <c:pt idx="17">
                  <c:v>2025</c:v>
                </c:pt>
                <c:pt idx="18">
                  <c:v>2999</c:v>
                </c:pt>
                <c:pt idx="19">
                  <c:v>998</c:v>
                </c:pt>
                <c:pt idx="20">
                  <c:v>38</c:v>
                </c:pt>
                <c:pt idx="21">
                  <c:v>1860</c:v>
                </c:pt>
                <c:pt idx="22">
                  <c:v>880</c:v>
                </c:pt>
                <c:pt idx="23">
                  <c:v>1650</c:v>
                </c:pt>
                <c:pt idx="24">
                  <c:v>2048</c:v>
                </c:pt>
                <c:pt idx="25">
                  <c:v>420</c:v>
                </c:pt>
                <c:pt idx="26">
                  <c:v>2880</c:v>
                </c:pt>
                <c:pt idx="27">
                  <c:v>1350</c:v>
                </c:pt>
                <c:pt idx="28">
                  <c:v>1758</c:v>
                </c:pt>
                <c:pt idx="29">
                  <c:v>2200</c:v>
                </c:pt>
                <c:pt idx="30">
                  <c:v>185</c:v>
                </c:pt>
                <c:pt idx="31">
                  <c:v>980</c:v>
                </c:pt>
                <c:pt idx="32">
                  <c:v>1820</c:v>
                </c:pt>
                <c:pt idx="33">
                  <c:v>1940</c:v>
                </c:pt>
                <c:pt idx="34">
                  <c:v>1980</c:v>
                </c:pt>
                <c:pt idx="35">
                  <c:v>1620</c:v>
                </c:pt>
                <c:pt idx="36">
                  <c:v>171</c:v>
                </c:pt>
                <c:pt idx="37">
                  <c:v>389</c:v>
                </c:pt>
                <c:pt idx="38">
                  <c:v>1620</c:v>
                </c:pt>
                <c:pt idx="39">
                  <c:v>2750</c:v>
                </c:pt>
                <c:pt idx="40">
                  <c:v>475</c:v>
                </c:pt>
                <c:pt idx="41">
                  <c:v>238</c:v>
                </c:pt>
                <c:pt idx="42">
                  <c:v>610</c:v>
                </c:pt>
                <c:pt idx="43">
                  <c:v>610</c:v>
                </c:pt>
                <c:pt idx="44">
                  <c:v>2132</c:v>
                </c:pt>
                <c:pt idx="45">
                  <c:v>999</c:v>
                </c:pt>
                <c:pt idx="46">
                  <c:v>1190</c:v>
                </c:pt>
                <c:pt idx="47">
                  <c:v>671</c:v>
                </c:pt>
                <c:pt idx="48">
                  <c:v>1200</c:v>
                </c:pt>
                <c:pt idx="49">
                  <c:v>199</c:v>
                </c:pt>
                <c:pt idx="50">
                  <c:v>299</c:v>
                </c:pt>
                <c:pt idx="51">
                  <c:v>1660</c:v>
                </c:pt>
                <c:pt idx="52">
                  <c:v>299</c:v>
                </c:pt>
                <c:pt idx="53">
                  <c:v>1459</c:v>
                </c:pt>
                <c:pt idx="54">
                  <c:v>799</c:v>
                </c:pt>
                <c:pt idx="55">
                  <c:v>499</c:v>
                </c:pt>
                <c:pt idx="56">
                  <c:v>699</c:v>
                </c:pt>
                <c:pt idx="57">
                  <c:v>799</c:v>
                </c:pt>
                <c:pt idx="58">
                  <c:v>2799</c:v>
                </c:pt>
                <c:pt idx="59">
                  <c:v>399</c:v>
                </c:pt>
                <c:pt idx="60">
                  <c:v>2170</c:v>
                </c:pt>
                <c:pt idx="61">
                  <c:v>458</c:v>
                </c:pt>
                <c:pt idx="62">
                  <c:v>2115</c:v>
                </c:pt>
                <c:pt idx="63">
                  <c:v>445</c:v>
                </c:pt>
                <c:pt idx="64">
                  <c:v>325</c:v>
                </c:pt>
                <c:pt idx="65">
                  <c:v>1220</c:v>
                </c:pt>
                <c:pt idx="66">
                  <c:v>990</c:v>
                </c:pt>
                <c:pt idx="67">
                  <c:v>1000</c:v>
                </c:pt>
                <c:pt idx="68">
                  <c:v>3750</c:v>
                </c:pt>
                <c:pt idx="69">
                  <c:v>382</c:v>
                </c:pt>
                <c:pt idx="70">
                  <c:v>2300</c:v>
                </c:pt>
                <c:pt idx="71">
                  <c:v>345</c:v>
                </c:pt>
                <c:pt idx="72">
                  <c:v>509</c:v>
                </c:pt>
                <c:pt idx="73">
                  <c:v>968</c:v>
                </c:pt>
                <c:pt idx="74">
                  <c:v>1570</c:v>
                </c:pt>
                <c:pt idx="75">
                  <c:v>790</c:v>
                </c:pt>
                <c:pt idx="76">
                  <c:v>690</c:v>
                </c:pt>
                <c:pt idx="77">
                  <c:v>1732</c:v>
                </c:pt>
                <c:pt idx="78">
                  <c:v>230</c:v>
                </c:pt>
                <c:pt idx="79">
                  <c:v>1189</c:v>
                </c:pt>
                <c:pt idx="80">
                  <c:v>979</c:v>
                </c:pt>
                <c:pt idx="81">
                  <c:v>1460</c:v>
                </c:pt>
                <c:pt idx="82">
                  <c:v>1666</c:v>
                </c:pt>
                <c:pt idx="83">
                  <c:v>330</c:v>
                </c:pt>
                <c:pt idx="84">
                  <c:v>610</c:v>
                </c:pt>
                <c:pt idx="85">
                  <c:v>176</c:v>
                </c:pt>
                <c:pt idx="86">
                  <c:v>1466</c:v>
                </c:pt>
                <c:pt idx="87">
                  <c:v>274</c:v>
                </c:pt>
                <c:pt idx="88">
                  <c:v>799</c:v>
                </c:pt>
                <c:pt idx="89">
                  <c:v>657</c:v>
                </c:pt>
                <c:pt idx="90">
                  <c:v>1468</c:v>
                </c:pt>
                <c:pt idx="91">
                  <c:v>630</c:v>
                </c:pt>
                <c:pt idx="92">
                  <c:v>850</c:v>
                </c:pt>
                <c:pt idx="93">
                  <c:v>1300</c:v>
                </c:pt>
                <c:pt idx="94">
                  <c:v>105</c:v>
                </c:pt>
                <c:pt idx="95">
                  <c:v>899</c:v>
                </c:pt>
                <c:pt idx="96">
                  <c:v>899</c:v>
                </c:pt>
                <c:pt idx="97">
                  <c:v>1200</c:v>
                </c:pt>
                <c:pt idx="98">
                  <c:v>1526</c:v>
                </c:pt>
                <c:pt idx="99">
                  <c:v>1462</c:v>
                </c:pt>
                <c:pt idx="100">
                  <c:v>248</c:v>
                </c:pt>
                <c:pt idx="101">
                  <c:v>3546</c:v>
                </c:pt>
                <c:pt idx="102">
                  <c:v>525</c:v>
                </c:pt>
                <c:pt idx="103">
                  <c:v>1080</c:v>
                </c:pt>
                <c:pt idx="104">
                  <c:v>3640</c:v>
                </c:pt>
                <c:pt idx="105">
                  <c:v>1420</c:v>
                </c:pt>
                <c:pt idx="106">
                  <c:v>1875</c:v>
                </c:pt>
                <c:pt idx="107">
                  <c:v>198</c:v>
                </c:pt>
                <c:pt idx="108">
                  <c:v>1150</c:v>
                </c:pt>
                <c:pt idx="109">
                  <c:v>1190</c:v>
                </c:pt>
                <c:pt idx="110">
                  <c:v>1658</c:v>
                </c:pt>
                <c:pt idx="111">
                  <c:v>1768</c:v>
                </c:pt>
                <c:pt idx="112">
                  <c:v>199</c:v>
                </c:pt>
                <c:pt idx="113">
                  <c:v>450</c:v>
                </c:pt>
                <c:pt idx="114">
                  <c:v>169</c:v>
                </c:pt>
              </c:numCache>
            </c:numRef>
          </c:xVal>
          <c:yVal>
            <c:numRef>
              <c:f>Cleaned!$F$2:$F$116</c:f>
              <c:numCache>
                <c:formatCode>General</c:formatCode>
                <c:ptCount val="115"/>
                <c:pt idx="0">
                  <c:v>4.5</c:v>
                </c:pt>
                <c:pt idx="1">
                  <c:v>4.0999999999999996</c:v>
                </c:pt>
                <c:pt idx="2">
                  <c:v>4.5999999999999996</c:v>
                </c:pt>
                <c:pt idx="3">
                  <c:v>4.7</c:v>
                </c:pt>
                <c:pt idx="4">
                  <c:v>4.8</c:v>
                </c:pt>
                <c:pt idx="5">
                  <c:v>4</c:v>
                </c:pt>
                <c:pt idx="6">
                  <c:v>4.5999999999999996</c:v>
                </c:pt>
                <c:pt idx="7">
                  <c:v>4</c:v>
                </c:pt>
                <c:pt idx="8">
                  <c:v>4.8</c:v>
                </c:pt>
                <c:pt idx="9">
                  <c:v>3.8</c:v>
                </c:pt>
                <c:pt idx="10">
                  <c:v>4.0999999999999996</c:v>
                </c:pt>
                <c:pt idx="11">
                  <c:v>4.7</c:v>
                </c:pt>
                <c:pt idx="12">
                  <c:v>4.8</c:v>
                </c:pt>
                <c:pt idx="13">
                  <c:v>4.5</c:v>
                </c:pt>
                <c:pt idx="14">
                  <c:v>4.2</c:v>
                </c:pt>
                <c:pt idx="15">
                  <c:v>5</c:v>
                </c:pt>
                <c:pt idx="16">
                  <c:v>5</c:v>
                </c:pt>
                <c:pt idx="17">
                  <c:v>5</c:v>
                </c:pt>
                <c:pt idx="18">
                  <c:v>4.5999999999999996</c:v>
                </c:pt>
                <c:pt idx="19">
                  <c:v>4.5999999999999996</c:v>
                </c:pt>
                <c:pt idx="20">
                  <c:v>3.3</c:v>
                </c:pt>
                <c:pt idx="21">
                  <c:v>0</c:v>
                </c:pt>
                <c:pt idx="22">
                  <c:v>4</c:v>
                </c:pt>
                <c:pt idx="23">
                  <c:v>4.4000000000000004</c:v>
                </c:pt>
                <c:pt idx="24">
                  <c:v>4.3</c:v>
                </c:pt>
                <c:pt idx="25">
                  <c:v>4.5999999999999996</c:v>
                </c:pt>
                <c:pt idx="26">
                  <c:v>3.8</c:v>
                </c:pt>
                <c:pt idx="27">
                  <c:v>3.8</c:v>
                </c:pt>
                <c:pt idx="28">
                  <c:v>4.0999999999999996</c:v>
                </c:pt>
                <c:pt idx="29">
                  <c:v>0</c:v>
                </c:pt>
                <c:pt idx="30">
                  <c:v>4.3</c:v>
                </c:pt>
                <c:pt idx="31">
                  <c:v>4.7</c:v>
                </c:pt>
                <c:pt idx="32">
                  <c:v>4.3</c:v>
                </c:pt>
                <c:pt idx="33">
                  <c:v>4.7</c:v>
                </c:pt>
                <c:pt idx="34">
                  <c:v>4.5</c:v>
                </c:pt>
                <c:pt idx="35">
                  <c:v>5</c:v>
                </c:pt>
                <c:pt idx="36">
                  <c:v>5</c:v>
                </c:pt>
                <c:pt idx="37">
                  <c:v>4.3</c:v>
                </c:pt>
                <c:pt idx="38">
                  <c:v>4.5</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2.5</c:v>
                </c:pt>
                <c:pt idx="61">
                  <c:v>3</c:v>
                </c:pt>
                <c:pt idx="62">
                  <c:v>2.1</c:v>
                </c:pt>
                <c:pt idx="63">
                  <c:v>2.8</c:v>
                </c:pt>
                <c:pt idx="64">
                  <c:v>2.7</c:v>
                </c:pt>
                <c:pt idx="65">
                  <c:v>2.9</c:v>
                </c:pt>
                <c:pt idx="66">
                  <c:v>2.2000000000000002</c:v>
                </c:pt>
                <c:pt idx="67">
                  <c:v>2.2999999999999998</c:v>
                </c:pt>
                <c:pt idx="68">
                  <c:v>3</c:v>
                </c:pt>
                <c:pt idx="69">
                  <c:v>2.6</c:v>
                </c:pt>
                <c:pt idx="70">
                  <c:v>3</c:v>
                </c:pt>
                <c:pt idx="71">
                  <c:v>2.2999999999999998</c:v>
                </c:pt>
                <c:pt idx="72">
                  <c:v>3</c:v>
                </c:pt>
                <c:pt idx="73">
                  <c:v>2.2000000000000002</c:v>
                </c:pt>
                <c:pt idx="74">
                  <c:v>2.1</c:v>
                </c:pt>
                <c:pt idx="75">
                  <c:v>0</c:v>
                </c:pt>
                <c:pt idx="76">
                  <c:v>0</c:v>
                </c:pt>
                <c:pt idx="77">
                  <c:v>0</c:v>
                </c:pt>
                <c:pt idx="78">
                  <c:v>0</c:v>
                </c:pt>
                <c:pt idx="79">
                  <c:v>3</c:v>
                </c:pt>
                <c:pt idx="80">
                  <c:v>5</c:v>
                </c:pt>
                <c:pt idx="81">
                  <c:v>0</c:v>
                </c:pt>
                <c:pt idx="82">
                  <c:v>0</c:v>
                </c:pt>
                <c:pt idx="83">
                  <c:v>4</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5</c:v>
                </c:pt>
                <c:pt idx="105">
                  <c:v>0</c:v>
                </c:pt>
                <c:pt idx="106">
                  <c:v>0</c:v>
                </c:pt>
                <c:pt idx="107">
                  <c:v>0</c:v>
                </c:pt>
                <c:pt idx="108">
                  <c:v>0</c:v>
                </c:pt>
                <c:pt idx="109">
                  <c:v>0</c:v>
                </c:pt>
                <c:pt idx="110">
                  <c:v>0</c:v>
                </c:pt>
                <c:pt idx="111">
                  <c:v>0</c:v>
                </c:pt>
                <c:pt idx="112">
                  <c:v>0</c:v>
                </c:pt>
                <c:pt idx="113">
                  <c:v>2</c:v>
                </c:pt>
                <c:pt idx="114">
                  <c:v>0</c:v>
                </c:pt>
              </c:numCache>
            </c:numRef>
          </c:yVal>
          <c:smooth val="0"/>
          <c:extLst>
            <c:ext xmlns:c16="http://schemas.microsoft.com/office/drawing/2014/chart" uri="{C3380CC4-5D6E-409C-BE32-E72D297353CC}">
              <c16:uniqueId val="{00000000-3F4D-40DB-96F5-2C9DBD8BE2A1}"/>
            </c:ext>
          </c:extLst>
        </c:ser>
        <c:dLbls>
          <c:showLegendKey val="0"/>
          <c:showVal val="0"/>
          <c:showCatName val="0"/>
          <c:showSerName val="0"/>
          <c:showPercent val="0"/>
          <c:showBubbleSize val="0"/>
        </c:dLbls>
        <c:axId val="12420720"/>
        <c:axId val="12418800"/>
      </c:scatterChart>
      <c:valAx>
        <c:axId val="1242072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8800"/>
        <c:crosses val="autoZero"/>
        <c:crossBetween val="midCat"/>
      </c:valAx>
      <c:valAx>
        <c:axId val="12418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207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10 Products by Rating</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Pivot_Tables!$I$2</c:f>
              <c:strCache>
                <c:ptCount val="1"/>
                <c:pt idx="0">
                  <c:v>Total</c:v>
                </c:pt>
              </c:strCache>
            </c:strRef>
          </c:tx>
          <c:spPr>
            <a:solidFill>
              <a:schemeClr val="accent1"/>
            </a:solidFill>
            <a:ln>
              <a:noFill/>
            </a:ln>
            <a:effectLst/>
          </c:spPr>
          <c:invertIfNegative val="0"/>
          <c:cat>
            <c:strRef>
              <c:f>Pivot_Tables!$H$3:$H$13</c:f>
              <c:strCache>
                <c:ptCount val="10"/>
                <c:pt idx="0">
                  <c:v>Classic Black Cat Cotton Hemp Pillow Case For Home Car</c:v>
                </c:pt>
                <c:pt idx="1">
                  <c:v>Lasa Aluminum Folding Truck Hand Cart - 68Kg Max</c:v>
                </c:pt>
                <c:pt idx="2">
                  <c:v>Konka Healty Electric Kettle, 24-Hour Heat Preservation,1.5L,800W, White</c:v>
                </c:pt>
                <c:pt idx="3">
                  <c:v>Anti-Skid Absorbent Insulation Coaster For Home Office</c:v>
                </c:pt>
                <c:pt idx="4">
                  <c:v>Peacock Throw Pillow Cushion Case For Home Car</c:v>
                </c:pt>
                <c:pt idx="5">
                  <c:v>Bedroom Simple Floor Hanging Clothes Rack Single Pole Hat Rack - White</c:v>
                </c:pt>
                <c:pt idx="6">
                  <c:v>DIY File Folder, Office Drawer File Holder, Pen Holder, Desktop Storage Rack</c:v>
                </c:pt>
                <c:pt idx="7">
                  <c:v>Lasa Folding Table Serving Stand</c:v>
                </c:pt>
                <c:pt idx="8">
                  <c:v>Portable Home Small Air Humidifier 3-Speed Fan - Green</c:v>
                </c:pt>
                <c:pt idx="9">
                  <c:v>40Cm Gold DIY Acrylic Wall Sticker Clock</c:v>
                </c:pt>
              </c:strCache>
            </c:strRef>
          </c:cat>
          <c:val>
            <c:numRef>
              <c:f>Pivot_Tables!$I$3:$I$13</c:f>
              <c:numCache>
                <c:formatCode>General</c:formatCode>
                <c:ptCount val="10"/>
                <c:pt idx="0">
                  <c:v>5</c:v>
                </c:pt>
                <c:pt idx="1">
                  <c:v>5</c:v>
                </c:pt>
                <c:pt idx="2">
                  <c:v>5</c:v>
                </c:pt>
                <c:pt idx="3">
                  <c:v>5</c:v>
                </c:pt>
                <c:pt idx="4">
                  <c:v>5</c:v>
                </c:pt>
                <c:pt idx="5">
                  <c:v>5</c:v>
                </c:pt>
                <c:pt idx="6">
                  <c:v>5</c:v>
                </c:pt>
                <c:pt idx="7">
                  <c:v>4.8</c:v>
                </c:pt>
                <c:pt idx="8">
                  <c:v>4.8</c:v>
                </c:pt>
                <c:pt idx="9">
                  <c:v>4.8</c:v>
                </c:pt>
              </c:numCache>
            </c:numRef>
          </c:val>
          <c:extLst>
            <c:ext xmlns:c16="http://schemas.microsoft.com/office/drawing/2014/chart" uri="{C3380CC4-5D6E-409C-BE32-E72D297353CC}">
              <c16:uniqueId val="{00000000-9527-4A36-B794-122731F46D20}"/>
            </c:ext>
          </c:extLst>
        </c:ser>
        <c:dLbls>
          <c:showLegendKey val="0"/>
          <c:showVal val="0"/>
          <c:showCatName val="0"/>
          <c:showSerName val="0"/>
          <c:showPercent val="0"/>
          <c:showBubbleSize val="0"/>
        </c:dLbls>
        <c:gapWidth val="182"/>
        <c:axId val="1296067552"/>
        <c:axId val="1296068512"/>
      </c:barChart>
      <c:catAx>
        <c:axId val="129606755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6068512"/>
        <c:crosses val="autoZero"/>
        <c:auto val="1"/>
        <c:lblAlgn val="ctr"/>
        <c:lblOffset val="100"/>
        <c:noMultiLvlLbl val="0"/>
      </c:catAx>
      <c:valAx>
        <c:axId val="1296068512"/>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606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10 Products by Reviews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Pivot_Tables!$I$18</c:f>
              <c:strCache>
                <c:ptCount val="1"/>
                <c:pt idx="0">
                  <c:v>Total</c:v>
                </c:pt>
              </c:strCache>
            </c:strRef>
          </c:tx>
          <c:spPr>
            <a:solidFill>
              <a:schemeClr val="accent1"/>
            </a:solidFill>
            <a:ln>
              <a:noFill/>
            </a:ln>
            <a:effectLst/>
          </c:spPr>
          <c:invertIfNegative val="0"/>
          <c:cat>
            <c:strRef>
              <c:f>Pivot_Tables!$H$19:$H$29</c:f>
              <c:strCache>
                <c:ptCount val="10"/>
                <c:pt idx="0">
                  <c:v>120W Cordless Vacuum Cleaners Handheld Electric Vacuum Cleaner</c:v>
                </c:pt>
                <c:pt idx="1">
                  <c:v>137 Pieces Cake Decorating Tool Set Baking Supplies</c:v>
                </c:pt>
                <c:pt idx="2">
                  <c:v>Electronic Digital Display Vernier Caliper</c:v>
                </c:pt>
                <c:pt idx="3">
                  <c:v>3D Waterproof EVA Plastic Shower Curtain 1.8*2Mtrs</c:v>
                </c:pt>
                <c:pt idx="4">
                  <c:v>100 Pcs Crochet Hook Tool Set Knitting Hook Set With Box</c:v>
                </c:pt>
                <c:pt idx="5">
                  <c:v>Punch-Free Great Load Bearing Bathroom Storage Rack Wall Shelf-White</c:v>
                </c:pt>
                <c:pt idx="6">
                  <c:v>53 Pieces/Set Yarn Knitting Crochet Hooks With Bag - Pansies</c:v>
                </c:pt>
                <c:pt idx="7">
                  <c:v>Portable Mini Cordless Car Vacuum Cleaner - Blue</c:v>
                </c:pt>
                <c:pt idx="8">
                  <c:v>53Pcs/Set Yarn Knitting Crochet Hooks With Bag - Fortune Cat</c:v>
                </c:pt>
                <c:pt idx="9">
                  <c:v>52 Pieces Cake Decorating Tool Set Gift Kit Baking Supplies</c:v>
                </c:pt>
              </c:strCache>
            </c:strRef>
          </c:cat>
          <c:val>
            <c:numRef>
              <c:f>Pivot_Tables!$I$19:$I$29</c:f>
              <c:numCache>
                <c:formatCode>General</c:formatCode>
                <c:ptCount val="10"/>
                <c:pt idx="0">
                  <c:v>69</c:v>
                </c:pt>
                <c:pt idx="1">
                  <c:v>55</c:v>
                </c:pt>
                <c:pt idx="2">
                  <c:v>49</c:v>
                </c:pt>
                <c:pt idx="3">
                  <c:v>44</c:v>
                </c:pt>
                <c:pt idx="4">
                  <c:v>39</c:v>
                </c:pt>
                <c:pt idx="5">
                  <c:v>36</c:v>
                </c:pt>
                <c:pt idx="6">
                  <c:v>32</c:v>
                </c:pt>
                <c:pt idx="7">
                  <c:v>24</c:v>
                </c:pt>
                <c:pt idx="8">
                  <c:v>20</c:v>
                </c:pt>
                <c:pt idx="9">
                  <c:v>20</c:v>
                </c:pt>
              </c:numCache>
            </c:numRef>
          </c:val>
          <c:extLst>
            <c:ext xmlns:c16="http://schemas.microsoft.com/office/drawing/2014/chart" uri="{C3380CC4-5D6E-409C-BE32-E72D297353CC}">
              <c16:uniqueId val="{00000000-38C9-4E2A-B13A-C48F91F4C29F}"/>
            </c:ext>
          </c:extLst>
        </c:ser>
        <c:dLbls>
          <c:showLegendKey val="0"/>
          <c:showVal val="0"/>
          <c:showCatName val="0"/>
          <c:showSerName val="0"/>
          <c:showPercent val="0"/>
          <c:showBubbleSize val="0"/>
        </c:dLbls>
        <c:gapWidth val="182"/>
        <c:axId val="1297595904"/>
        <c:axId val="1418552992"/>
      </c:barChart>
      <c:catAx>
        <c:axId val="1297595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552992"/>
        <c:crosses val="autoZero"/>
        <c:auto val="1"/>
        <c:lblAlgn val="ctr"/>
        <c:lblOffset val="100"/>
        <c:noMultiLvlLbl val="0"/>
      </c:catAx>
      <c:valAx>
        <c:axId val="14185529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595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Product by discount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Pivot_Tables!$N$2</c:f>
              <c:strCache>
                <c:ptCount val="1"/>
                <c:pt idx="0">
                  <c:v>Total</c:v>
                </c:pt>
              </c:strCache>
            </c:strRef>
          </c:tx>
          <c:spPr>
            <a:solidFill>
              <a:schemeClr val="accent1"/>
            </a:solidFill>
            <a:ln>
              <a:noFill/>
            </a:ln>
            <a:effectLst/>
          </c:spPr>
          <c:invertIfNegative val="0"/>
          <c:cat>
            <c:strRef>
              <c:f>Pivot_Tables!$M$3:$M$13</c:f>
              <c:strCache>
                <c:ptCount val="10"/>
                <c:pt idx="0">
                  <c:v>6 In 1 Bottle Can Opener Multifunctional Easy Opener</c:v>
                </c:pt>
                <c:pt idx="1">
                  <c:v>Lasa Folding Table Serving Stand</c:v>
                </c:pt>
                <c:pt idx="2">
                  <c:v>5-Pcs Stainless Steel Cooking Pot Set With Steamed Slices</c:v>
                </c:pt>
                <c:pt idx="3">
                  <c:v>Creative Owl Shape Keychain Black</c:v>
                </c:pt>
                <c:pt idx="4">
                  <c:v>Lasa 3 Tier Bamboo Shoe Bench Storage Shelf</c:v>
                </c:pt>
                <c:pt idx="5">
                  <c:v>Mythco 120Cob Solar Wall Ligt With Motion Sensor And Remote Control 3 Modes</c:v>
                </c:pt>
                <c:pt idx="6">
                  <c:v>Classic Black Cat Cotton Hemp Pillow Case For Home Car</c:v>
                </c:pt>
                <c:pt idx="7">
                  <c:v>3Pcs Single Head Knitting Crochet Sweater Needle Set</c:v>
                </c:pt>
                <c:pt idx="8">
                  <c:v>Exfoliate And Exfoliate Face Towel - Black</c:v>
                </c:pt>
                <c:pt idx="9">
                  <c:v>Intelligent LED Body Sensor Wireless Lighting Night Light USB</c:v>
                </c:pt>
              </c:strCache>
            </c:strRef>
          </c:cat>
          <c:val>
            <c:numRef>
              <c:f>Pivot_Tables!$N$3:$N$13</c:f>
              <c:numCache>
                <c:formatCode>General</c:formatCode>
                <c:ptCount val="10"/>
                <c:pt idx="0">
                  <c:v>0.64</c:v>
                </c:pt>
                <c:pt idx="1">
                  <c:v>0.55000000000000004</c:v>
                </c:pt>
                <c:pt idx="2">
                  <c:v>0.55000000000000004</c:v>
                </c:pt>
                <c:pt idx="3">
                  <c:v>0.55000000000000004</c:v>
                </c:pt>
                <c:pt idx="4">
                  <c:v>0.54</c:v>
                </c:pt>
                <c:pt idx="5">
                  <c:v>0.54</c:v>
                </c:pt>
                <c:pt idx="6">
                  <c:v>0.53</c:v>
                </c:pt>
                <c:pt idx="7">
                  <c:v>0.53</c:v>
                </c:pt>
                <c:pt idx="8">
                  <c:v>0.52</c:v>
                </c:pt>
                <c:pt idx="9">
                  <c:v>0.52</c:v>
                </c:pt>
              </c:numCache>
            </c:numRef>
          </c:val>
          <c:extLst>
            <c:ext xmlns:c16="http://schemas.microsoft.com/office/drawing/2014/chart" uri="{C3380CC4-5D6E-409C-BE32-E72D297353CC}">
              <c16:uniqueId val="{00000000-04FE-44B7-811E-A8EDDB5E0A6B}"/>
            </c:ext>
          </c:extLst>
        </c:ser>
        <c:dLbls>
          <c:showLegendKey val="0"/>
          <c:showVal val="0"/>
          <c:showCatName val="0"/>
          <c:showSerName val="0"/>
          <c:showPercent val="0"/>
          <c:showBubbleSize val="0"/>
        </c:dLbls>
        <c:gapWidth val="182"/>
        <c:axId val="1516653984"/>
        <c:axId val="1516646304"/>
      </c:barChart>
      <c:catAx>
        <c:axId val="151665398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646304"/>
        <c:crosses val="autoZero"/>
        <c:auto val="1"/>
        <c:lblAlgn val="ctr"/>
        <c:lblOffset val="100"/>
        <c:noMultiLvlLbl val="0"/>
      </c:catAx>
      <c:valAx>
        <c:axId val="1516646304"/>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6539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Discount</a:t>
            </a:r>
            <a:r>
              <a:rPr lang="en-US" b="1" baseline="0"/>
              <a:t> Mix</a:t>
            </a:r>
            <a:endParaRPr lang="en-US" b="1"/>
          </a:p>
        </c:rich>
      </c:tx>
      <c:layout>
        <c:manualLayout>
          <c:xMode val="edge"/>
          <c:yMode val="edge"/>
          <c:x val="0.3918888888888889"/>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Pivot_Tables!$B$3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B78-4CE9-98C8-E50C596E328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B78-4CE9-98C8-E50C596E328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B78-4CE9-98C8-E50C596E3284}"/>
              </c:ext>
            </c:extLst>
          </c:dPt>
          <c:cat>
            <c:strRef>
              <c:f>Pivot_Tables!$A$4:$A$7</c:f>
              <c:strCache>
                <c:ptCount val="3"/>
                <c:pt idx="0">
                  <c:v>High Discount</c:v>
                </c:pt>
                <c:pt idx="1">
                  <c:v>Low Discount</c:v>
                </c:pt>
                <c:pt idx="2">
                  <c:v>Medium Discount</c:v>
                </c:pt>
              </c:strCache>
            </c:strRef>
          </c:cat>
          <c:val>
            <c:numRef>
              <c:f>Pivot_Tables!$B$4:$B$7</c:f>
              <c:numCache>
                <c:formatCode>General</c:formatCode>
                <c:ptCount val="3"/>
                <c:pt idx="0">
                  <c:v>65</c:v>
                </c:pt>
                <c:pt idx="1">
                  <c:v>18</c:v>
                </c:pt>
                <c:pt idx="2">
                  <c:v>32</c:v>
                </c:pt>
              </c:numCache>
            </c:numRef>
          </c:val>
          <c:extLst>
            <c:ext xmlns:c16="http://schemas.microsoft.com/office/drawing/2014/chart" uri="{C3380CC4-5D6E-409C-BE32-E72D297353CC}">
              <c16:uniqueId val="{00000006-DB78-4CE9-98C8-E50C596E328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Rating</a:t>
            </a:r>
            <a:r>
              <a:rPr lang="en-US" b="1" baseline="0"/>
              <a:t> Mix</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Pivot_Tables!$B$14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E35-4B79-8F26-4D690B81D52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E35-4B79-8F26-4D690B81D52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E35-4B79-8F26-4D690B81D52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E35-4B79-8F26-4D690B81D52F}"/>
              </c:ext>
            </c:extLst>
          </c:dPt>
          <c:cat>
            <c:strRef>
              <c:f>Pivot_Tables!$A$15:$A$19</c:f>
              <c:strCache>
                <c:ptCount val="4"/>
                <c:pt idx="0">
                  <c:v>Average</c:v>
                </c:pt>
                <c:pt idx="1">
                  <c:v>Excellent</c:v>
                </c:pt>
                <c:pt idx="2">
                  <c:v>Missing</c:v>
                </c:pt>
                <c:pt idx="3">
                  <c:v>Poor</c:v>
                </c:pt>
              </c:strCache>
            </c:strRef>
          </c:cat>
          <c:val>
            <c:numRef>
              <c:f>Pivot_Tables!$B$15:$B$19</c:f>
              <c:numCache>
                <c:formatCode>General</c:formatCode>
                <c:ptCount val="4"/>
                <c:pt idx="0">
                  <c:v>26</c:v>
                </c:pt>
                <c:pt idx="1">
                  <c:v>19</c:v>
                </c:pt>
                <c:pt idx="2">
                  <c:v>58</c:v>
                </c:pt>
                <c:pt idx="3">
                  <c:v>12</c:v>
                </c:pt>
              </c:numCache>
            </c:numRef>
          </c:val>
          <c:extLst>
            <c:ext xmlns:c16="http://schemas.microsoft.com/office/drawing/2014/chart" uri="{C3380CC4-5D6E-409C-BE32-E72D297353CC}">
              <c16:uniqueId val="{00000008-0E35-4B79-8F26-4D690B81D52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Average</a:t>
            </a:r>
            <a:r>
              <a:rPr lang="en-US" b="1" baseline="0"/>
              <a:t> Reviews by Discount Category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Pivot_Tables!$B$24</c:f>
              <c:strCache>
                <c:ptCount val="1"/>
                <c:pt idx="0">
                  <c:v>Total</c:v>
                </c:pt>
              </c:strCache>
            </c:strRef>
          </c:tx>
          <c:spPr>
            <a:solidFill>
              <a:schemeClr val="accent1"/>
            </a:solidFill>
            <a:ln>
              <a:noFill/>
            </a:ln>
            <a:effectLst/>
          </c:spPr>
          <c:invertIfNegative val="0"/>
          <c:cat>
            <c:strRef>
              <c:f>Pivot_Tables!$A$25:$A$28</c:f>
              <c:strCache>
                <c:ptCount val="3"/>
                <c:pt idx="0">
                  <c:v>High Discount</c:v>
                </c:pt>
                <c:pt idx="1">
                  <c:v>Low Discount</c:v>
                </c:pt>
                <c:pt idx="2">
                  <c:v>Medium Discount</c:v>
                </c:pt>
              </c:strCache>
            </c:strRef>
          </c:cat>
          <c:val>
            <c:numRef>
              <c:f>Pivot_Tables!$B$25:$B$28</c:f>
              <c:numCache>
                <c:formatCode>General</c:formatCode>
                <c:ptCount val="3"/>
                <c:pt idx="0">
                  <c:v>11.133333333333333</c:v>
                </c:pt>
                <c:pt idx="1">
                  <c:v>9.5</c:v>
                </c:pt>
                <c:pt idx="2">
                  <c:v>15.260869565217391</c:v>
                </c:pt>
              </c:numCache>
            </c:numRef>
          </c:val>
          <c:extLst>
            <c:ext xmlns:c16="http://schemas.microsoft.com/office/drawing/2014/chart" uri="{C3380CC4-5D6E-409C-BE32-E72D297353CC}">
              <c16:uniqueId val="{00000000-2AE7-4F75-94EC-1384020BF961}"/>
            </c:ext>
          </c:extLst>
        </c:ser>
        <c:dLbls>
          <c:showLegendKey val="0"/>
          <c:showVal val="0"/>
          <c:showCatName val="0"/>
          <c:showSerName val="0"/>
          <c:showPercent val="0"/>
          <c:showBubbleSize val="0"/>
        </c:dLbls>
        <c:gapWidth val="219"/>
        <c:overlap val="-27"/>
        <c:axId val="1575435296"/>
        <c:axId val="1575435776"/>
      </c:barChart>
      <c:catAx>
        <c:axId val="1575435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5435776"/>
        <c:crosses val="autoZero"/>
        <c:auto val="1"/>
        <c:lblAlgn val="ctr"/>
        <c:lblOffset val="100"/>
        <c:noMultiLvlLbl val="0"/>
      </c:catAx>
      <c:valAx>
        <c:axId val="15754357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5435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[Excel_jumia_dataset.xlsx]Pivot_Tables!PivotTable7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Pricing/Marketing Attention: Discount vs Rating</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Pivot_Tables!$N$18:$N$19</c:f>
              <c:strCache>
                <c:ptCount val="1"/>
                <c:pt idx="0">
                  <c:v>Average</c:v>
                </c:pt>
              </c:strCache>
            </c:strRef>
          </c:tx>
          <c:spPr>
            <a:solidFill>
              <a:schemeClr val="accent1"/>
            </a:solidFill>
            <a:ln>
              <a:noFill/>
            </a:ln>
            <a:effectLst/>
          </c:spPr>
          <c:invertIfNegative val="0"/>
          <c:cat>
            <c:strRef>
              <c:f>Pivot_Tables!$M$20:$M$23</c:f>
              <c:strCache>
                <c:ptCount val="3"/>
                <c:pt idx="0">
                  <c:v>High Discount</c:v>
                </c:pt>
                <c:pt idx="1">
                  <c:v>Low Discount</c:v>
                </c:pt>
                <c:pt idx="2">
                  <c:v>Medium Discount</c:v>
                </c:pt>
              </c:strCache>
            </c:strRef>
          </c:cat>
          <c:val>
            <c:numRef>
              <c:f>Pivot_Tables!$N$20:$N$23</c:f>
              <c:numCache>
                <c:formatCode>General</c:formatCode>
                <c:ptCount val="3"/>
                <c:pt idx="0">
                  <c:v>12</c:v>
                </c:pt>
                <c:pt idx="1">
                  <c:v>2</c:v>
                </c:pt>
                <c:pt idx="2">
                  <c:v>12</c:v>
                </c:pt>
              </c:numCache>
            </c:numRef>
          </c:val>
          <c:extLst>
            <c:ext xmlns:c16="http://schemas.microsoft.com/office/drawing/2014/chart" uri="{C3380CC4-5D6E-409C-BE32-E72D297353CC}">
              <c16:uniqueId val="{00000000-A63A-4408-87AA-90301E16EDE4}"/>
            </c:ext>
          </c:extLst>
        </c:ser>
        <c:ser>
          <c:idx val="1"/>
          <c:order val="1"/>
          <c:tx>
            <c:strRef>
              <c:f>Pivot_Tables!$O$18:$O$19</c:f>
              <c:strCache>
                <c:ptCount val="1"/>
                <c:pt idx="0">
                  <c:v>Excellent</c:v>
                </c:pt>
              </c:strCache>
            </c:strRef>
          </c:tx>
          <c:spPr>
            <a:solidFill>
              <a:schemeClr val="accent2"/>
            </a:solidFill>
            <a:ln>
              <a:noFill/>
            </a:ln>
            <a:effectLst/>
          </c:spPr>
          <c:invertIfNegative val="0"/>
          <c:cat>
            <c:strRef>
              <c:f>Pivot_Tables!$M$20:$M$23</c:f>
              <c:strCache>
                <c:ptCount val="3"/>
                <c:pt idx="0">
                  <c:v>High Discount</c:v>
                </c:pt>
                <c:pt idx="1">
                  <c:v>Low Discount</c:v>
                </c:pt>
                <c:pt idx="2">
                  <c:v>Medium Discount</c:v>
                </c:pt>
              </c:strCache>
            </c:strRef>
          </c:cat>
          <c:val>
            <c:numRef>
              <c:f>Pivot_Tables!$O$20:$O$23</c:f>
              <c:numCache>
                <c:formatCode>General</c:formatCode>
                <c:ptCount val="3"/>
                <c:pt idx="0">
                  <c:v>8</c:v>
                </c:pt>
                <c:pt idx="1">
                  <c:v>1</c:v>
                </c:pt>
                <c:pt idx="2">
                  <c:v>10</c:v>
                </c:pt>
              </c:numCache>
            </c:numRef>
          </c:val>
          <c:extLst>
            <c:ext xmlns:c16="http://schemas.microsoft.com/office/drawing/2014/chart" uri="{C3380CC4-5D6E-409C-BE32-E72D297353CC}">
              <c16:uniqueId val="{00000001-A63A-4408-87AA-90301E16EDE4}"/>
            </c:ext>
          </c:extLst>
        </c:ser>
        <c:ser>
          <c:idx val="2"/>
          <c:order val="2"/>
          <c:tx>
            <c:strRef>
              <c:f>Pivot_Tables!$P$18:$P$19</c:f>
              <c:strCache>
                <c:ptCount val="1"/>
                <c:pt idx="0">
                  <c:v>Missing</c:v>
                </c:pt>
              </c:strCache>
            </c:strRef>
          </c:tx>
          <c:spPr>
            <a:solidFill>
              <a:schemeClr val="accent3"/>
            </a:solidFill>
            <a:ln>
              <a:noFill/>
            </a:ln>
            <a:effectLst/>
          </c:spPr>
          <c:invertIfNegative val="0"/>
          <c:cat>
            <c:strRef>
              <c:f>Pivot_Tables!$M$20:$M$23</c:f>
              <c:strCache>
                <c:ptCount val="3"/>
                <c:pt idx="0">
                  <c:v>High Discount</c:v>
                </c:pt>
                <c:pt idx="1">
                  <c:v>Low Discount</c:v>
                </c:pt>
                <c:pt idx="2">
                  <c:v>Medium Discount</c:v>
                </c:pt>
              </c:strCache>
            </c:strRef>
          </c:cat>
          <c:val>
            <c:numRef>
              <c:f>Pivot_Tables!$P$20:$P$23</c:f>
              <c:numCache>
                <c:formatCode>General</c:formatCode>
                <c:ptCount val="3"/>
                <c:pt idx="0">
                  <c:v>35</c:v>
                </c:pt>
                <c:pt idx="1">
                  <c:v>14</c:v>
                </c:pt>
                <c:pt idx="2">
                  <c:v>9</c:v>
                </c:pt>
              </c:numCache>
            </c:numRef>
          </c:val>
          <c:extLst>
            <c:ext xmlns:c16="http://schemas.microsoft.com/office/drawing/2014/chart" uri="{C3380CC4-5D6E-409C-BE32-E72D297353CC}">
              <c16:uniqueId val="{00000002-A63A-4408-87AA-90301E16EDE4}"/>
            </c:ext>
          </c:extLst>
        </c:ser>
        <c:ser>
          <c:idx val="3"/>
          <c:order val="3"/>
          <c:tx>
            <c:strRef>
              <c:f>Pivot_Tables!$Q$18:$Q$19</c:f>
              <c:strCache>
                <c:ptCount val="1"/>
                <c:pt idx="0">
                  <c:v>Poor</c:v>
                </c:pt>
              </c:strCache>
            </c:strRef>
          </c:tx>
          <c:spPr>
            <a:solidFill>
              <a:schemeClr val="accent4"/>
            </a:solidFill>
            <a:ln>
              <a:noFill/>
            </a:ln>
            <a:effectLst/>
          </c:spPr>
          <c:invertIfNegative val="0"/>
          <c:cat>
            <c:strRef>
              <c:f>Pivot_Tables!$M$20:$M$23</c:f>
              <c:strCache>
                <c:ptCount val="3"/>
                <c:pt idx="0">
                  <c:v>High Discount</c:v>
                </c:pt>
                <c:pt idx="1">
                  <c:v>Low Discount</c:v>
                </c:pt>
                <c:pt idx="2">
                  <c:v>Medium Discount</c:v>
                </c:pt>
              </c:strCache>
            </c:strRef>
          </c:cat>
          <c:val>
            <c:numRef>
              <c:f>Pivot_Tables!$Q$20:$Q$23</c:f>
              <c:numCache>
                <c:formatCode>General</c:formatCode>
                <c:ptCount val="3"/>
                <c:pt idx="0">
                  <c:v>10</c:v>
                </c:pt>
                <c:pt idx="1">
                  <c:v>1</c:v>
                </c:pt>
                <c:pt idx="2">
                  <c:v>1</c:v>
                </c:pt>
              </c:numCache>
            </c:numRef>
          </c:val>
          <c:extLst>
            <c:ext xmlns:c16="http://schemas.microsoft.com/office/drawing/2014/chart" uri="{C3380CC4-5D6E-409C-BE32-E72D297353CC}">
              <c16:uniqueId val="{00000003-A63A-4408-87AA-90301E16EDE4}"/>
            </c:ext>
          </c:extLst>
        </c:ser>
        <c:dLbls>
          <c:showLegendKey val="0"/>
          <c:showVal val="0"/>
          <c:showCatName val="0"/>
          <c:showSerName val="0"/>
          <c:showPercent val="0"/>
          <c:showBubbleSize val="0"/>
        </c:dLbls>
        <c:gapWidth val="150"/>
        <c:overlap val="100"/>
        <c:axId val="1591030592"/>
        <c:axId val="1591029632"/>
      </c:barChart>
      <c:catAx>
        <c:axId val="159103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029632"/>
        <c:crosses val="autoZero"/>
        <c:auto val="1"/>
        <c:lblAlgn val="ctr"/>
        <c:lblOffset val="100"/>
        <c:noMultiLvlLbl val="0"/>
      </c:catAx>
      <c:valAx>
        <c:axId val="159102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030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6350</xdr:colOff>
      <xdr:row>0</xdr:row>
      <xdr:rowOff>171450</xdr:rowOff>
    </xdr:from>
    <xdr:to>
      <xdr:col>18</xdr:col>
      <xdr:colOff>107950</xdr:colOff>
      <xdr:row>3</xdr:row>
      <xdr:rowOff>107950</xdr:rowOff>
    </xdr:to>
    <xdr:sp macro="" textlink="">
      <xdr:nvSpPr>
        <xdr:cNvPr id="2" name="Rectangle: Top Corners Rounded 1">
          <a:extLst>
            <a:ext uri="{FF2B5EF4-FFF2-40B4-BE49-F238E27FC236}">
              <a16:creationId xmlns:a16="http://schemas.microsoft.com/office/drawing/2014/main" id="{4C0ABBC5-A63D-7905-077B-C34074E19EB7}"/>
            </a:ext>
          </a:extLst>
        </xdr:cNvPr>
        <xdr:cNvSpPr/>
      </xdr:nvSpPr>
      <xdr:spPr>
        <a:xfrm>
          <a:off x="3663950" y="171450"/>
          <a:ext cx="7416800" cy="488950"/>
        </a:xfrm>
        <a:prstGeom prst="round2SameRect">
          <a:avLst>
            <a:gd name="adj1" fmla="val 16667"/>
            <a:gd name="adj2" fmla="val 0"/>
          </a:avLst>
        </a:prstGeom>
        <a:solidFill>
          <a:schemeClr val="accent2"/>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i="0" cap="none" spc="0">
              <a:ln w="0"/>
              <a:solidFill>
                <a:schemeClr val="tx1"/>
              </a:solidFill>
              <a:effectLst>
                <a:outerShdw blurRad="38100" dist="19050" dir="2700000" algn="tl" rotWithShape="0">
                  <a:schemeClr val="dk1">
                    <a:alpha val="40000"/>
                  </a:schemeClr>
                </a:outerShdw>
              </a:effectLst>
              <a:latin typeface="+mn-lt"/>
              <a:ea typeface="+mn-ea"/>
              <a:cs typeface="+mn-cs"/>
            </a:rPr>
            <a:t>Jumia Product Performance Dashboard</a:t>
          </a:r>
          <a:endParaRPr lang="en-US" sz="1800" b="1"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xdr:from>
      <xdr:col>1</xdr:col>
      <xdr:colOff>0</xdr:colOff>
      <xdr:row>11</xdr:row>
      <xdr:rowOff>0</xdr:rowOff>
    </xdr:from>
    <xdr:to>
      <xdr:col>8</xdr:col>
      <xdr:colOff>304800</xdr:colOff>
      <xdr:row>25</xdr:row>
      <xdr:rowOff>165100</xdr:rowOff>
    </xdr:to>
    <xdr:graphicFrame macro="">
      <xdr:nvGraphicFramePr>
        <xdr:cNvPr id="4" name="Chart 3">
          <a:extLst>
            <a:ext uri="{FF2B5EF4-FFF2-40B4-BE49-F238E27FC236}">
              <a16:creationId xmlns:a16="http://schemas.microsoft.com/office/drawing/2014/main" id="{554340C8-87E9-409F-8545-562A6D515E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11</xdr:row>
      <xdr:rowOff>0</xdr:rowOff>
    </xdr:from>
    <xdr:to>
      <xdr:col>17</xdr:col>
      <xdr:colOff>304800</xdr:colOff>
      <xdr:row>25</xdr:row>
      <xdr:rowOff>165100</xdr:rowOff>
    </xdr:to>
    <xdr:graphicFrame macro="">
      <xdr:nvGraphicFramePr>
        <xdr:cNvPr id="9" name="Chart 8">
          <a:extLst>
            <a:ext uri="{FF2B5EF4-FFF2-40B4-BE49-F238E27FC236}">
              <a16:creationId xmlns:a16="http://schemas.microsoft.com/office/drawing/2014/main" id="{8D8FFD7C-4507-4784-B020-D8B76A1B05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0</xdr:colOff>
      <xdr:row>11</xdr:row>
      <xdr:rowOff>0</xdr:rowOff>
    </xdr:from>
    <xdr:to>
      <xdr:col>27</xdr:col>
      <xdr:colOff>304800</xdr:colOff>
      <xdr:row>25</xdr:row>
      <xdr:rowOff>165100</xdr:rowOff>
    </xdr:to>
    <xdr:graphicFrame macro="">
      <xdr:nvGraphicFramePr>
        <xdr:cNvPr id="10" name="Chart 9">
          <a:extLst>
            <a:ext uri="{FF2B5EF4-FFF2-40B4-BE49-F238E27FC236}">
              <a16:creationId xmlns:a16="http://schemas.microsoft.com/office/drawing/2014/main" id="{0D282E86-F0AB-422B-8C2A-F21E18A47F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28</xdr:row>
      <xdr:rowOff>0</xdr:rowOff>
    </xdr:from>
    <xdr:to>
      <xdr:col>8</xdr:col>
      <xdr:colOff>304800</xdr:colOff>
      <xdr:row>42</xdr:row>
      <xdr:rowOff>165100</xdr:rowOff>
    </xdr:to>
    <xdr:graphicFrame macro="">
      <xdr:nvGraphicFramePr>
        <xdr:cNvPr id="3" name="Chart 2">
          <a:extLst>
            <a:ext uri="{FF2B5EF4-FFF2-40B4-BE49-F238E27FC236}">
              <a16:creationId xmlns:a16="http://schemas.microsoft.com/office/drawing/2014/main" id="{07ADB6B6-3F6F-4DDE-9B05-2359D37581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0</xdr:colOff>
      <xdr:row>28</xdr:row>
      <xdr:rowOff>0</xdr:rowOff>
    </xdr:from>
    <xdr:to>
      <xdr:col>17</xdr:col>
      <xdr:colOff>304800</xdr:colOff>
      <xdr:row>42</xdr:row>
      <xdr:rowOff>165100</xdr:rowOff>
    </xdr:to>
    <xdr:graphicFrame macro="">
      <xdr:nvGraphicFramePr>
        <xdr:cNvPr id="5" name="Chart 4">
          <a:extLst>
            <a:ext uri="{FF2B5EF4-FFF2-40B4-BE49-F238E27FC236}">
              <a16:creationId xmlns:a16="http://schemas.microsoft.com/office/drawing/2014/main" id="{57477269-9183-48BD-ABBA-CD670911C4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0</xdr:colOff>
      <xdr:row>28</xdr:row>
      <xdr:rowOff>0</xdr:rowOff>
    </xdr:from>
    <xdr:to>
      <xdr:col>27</xdr:col>
      <xdr:colOff>303920</xdr:colOff>
      <xdr:row>42</xdr:row>
      <xdr:rowOff>137751</xdr:rowOff>
    </xdr:to>
    <xdr:graphicFrame macro="">
      <xdr:nvGraphicFramePr>
        <xdr:cNvPr id="7" name="Chart 6">
          <a:extLst>
            <a:ext uri="{FF2B5EF4-FFF2-40B4-BE49-F238E27FC236}">
              <a16:creationId xmlns:a16="http://schemas.microsoft.com/office/drawing/2014/main" id="{329EBA1C-3418-4EAA-B2FC-BAAE8E9F0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46</xdr:row>
      <xdr:rowOff>0</xdr:rowOff>
    </xdr:from>
    <xdr:to>
      <xdr:col>8</xdr:col>
      <xdr:colOff>304800</xdr:colOff>
      <xdr:row>60</xdr:row>
      <xdr:rowOff>165100</xdr:rowOff>
    </xdr:to>
    <xdr:graphicFrame macro="">
      <xdr:nvGraphicFramePr>
        <xdr:cNvPr id="8" name="Chart 7">
          <a:extLst>
            <a:ext uri="{FF2B5EF4-FFF2-40B4-BE49-F238E27FC236}">
              <a16:creationId xmlns:a16="http://schemas.microsoft.com/office/drawing/2014/main" id="{E919386B-45DC-41E2-A93D-61F7762A5D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0</xdr:colOff>
      <xdr:row>46</xdr:row>
      <xdr:rowOff>0</xdr:rowOff>
    </xdr:from>
    <xdr:to>
      <xdr:col>17</xdr:col>
      <xdr:colOff>304800</xdr:colOff>
      <xdr:row>60</xdr:row>
      <xdr:rowOff>165100</xdr:rowOff>
    </xdr:to>
    <xdr:graphicFrame macro="">
      <xdr:nvGraphicFramePr>
        <xdr:cNvPr id="11" name="Chart 10">
          <a:extLst>
            <a:ext uri="{FF2B5EF4-FFF2-40B4-BE49-F238E27FC236}">
              <a16:creationId xmlns:a16="http://schemas.microsoft.com/office/drawing/2014/main" id="{F2E8DC1C-D25A-4763-8F51-24A706C25B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0</xdr:colOff>
      <xdr:row>46</xdr:row>
      <xdr:rowOff>0</xdr:rowOff>
    </xdr:from>
    <xdr:to>
      <xdr:col>27</xdr:col>
      <xdr:colOff>304800</xdr:colOff>
      <xdr:row>60</xdr:row>
      <xdr:rowOff>165100</xdr:rowOff>
    </xdr:to>
    <xdr:graphicFrame macro="">
      <xdr:nvGraphicFramePr>
        <xdr:cNvPr id="12" name="Chart 11">
          <a:extLst>
            <a:ext uri="{FF2B5EF4-FFF2-40B4-BE49-F238E27FC236}">
              <a16:creationId xmlns:a16="http://schemas.microsoft.com/office/drawing/2014/main" id="{AE58770B-6818-4155-B40E-E30084DD9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xdr:col>
      <xdr:colOff>431800</xdr:colOff>
      <xdr:row>61</xdr:row>
      <xdr:rowOff>101600</xdr:rowOff>
    </xdr:from>
    <xdr:to>
      <xdr:col>5</xdr:col>
      <xdr:colOff>431800</xdr:colOff>
      <xdr:row>75</xdr:row>
      <xdr:rowOff>142872</xdr:rowOff>
    </xdr:to>
    <mc:AlternateContent xmlns:mc="http://schemas.openxmlformats.org/markup-compatibility/2006" xmlns:a14="http://schemas.microsoft.com/office/drawing/2010/main">
      <mc:Choice Requires="a14">
        <xdr:graphicFrame macro="">
          <xdr:nvGraphicFramePr>
            <xdr:cNvPr id="13" name="Discount category">
              <a:extLst>
                <a:ext uri="{FF2B5EF4-FFF2-40B4-BE49-F238E27FC236}">
                  <a16:creationId xmlns:a16="http://schemas.microsoft.com/office/drawing/2014/main" id="{00DD96DE-A459-3FBE-F5A8-9BB4B8847AD5}"/>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mlns="">
        <xdr:sp macro="" textlink="">
          <xdr:nvSpPr>
            <xdr:cNvPr id="0" name=""/>
            <xdr:cNvSpPr>
              <a:spLocks noTextEdit="1"/>
            </xdr:cNvSpPr>
          </xdr:nvSpPr>
          <xdr:spPr>
            <a:xfrm>
              <a:off x="1651000" y="113347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495300</xdr:colOff>
      <xdr:row>61</xdr:row>
      <xdr:rowOff>76200</xdr:rowOff>
    </xdr:from>
    <xdr:to>
      <xdr:col>14</xdr:col>
      <xdr:colOff>495300</xdr:colOff>
      <xdr:row>75</xdr:row>
      <xdr:rowOff>117472</xdr:rowOff>
    </xdr:to>
    <mc:AlternateContent xmlns:mc="http://schemas.openxmlformats.org/markup-compatibility/2006" xmlns:a14="http://schemas.microsoft.com/office/drawing/2010/main">
      <mc:Choice Requires="a14">
        <xdr:graphicFrame macro="">
          <xdr:nvGraphicFramePr>
            <xdr:cNvPr id="14" name="Rating category">
              <a:extLst>
                <a:ext uri="{FF2B5EF4-FFF2-40B4-BE49-F238E27FC236}">
                  <a16:creationId xmlns:a16="http://schemas.microsoft.com/office/drawing/2014/main" id="{D6AC0528-D79E-2A46-4228-996820D11620}"/>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mlns="">
        <xdr:sp macro="" textlink="">
          <xdr:nvSpPr>
            <xdr:cNvPr id="0" name=""/>
            <xdr:cNvSpPr>
              <a:spLocks noTextEdit="1"/>
            </xdr:cNvSpPr>
          </xdr:nvSpPr>
          <xdr:spPr>
            <a:xfrm>
              <a:off x="7200900" y="113093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5</xdr:col>
      <xdr:colOff>469900</xdr:colOff>
      <xdr:row>82</xdr:row>
      <xdr:rowOff>127000</xdr:rowOff>
    </xdr:from>
    <xdr:ext cx="184731" cy="264560"/>
    <xdr:sp macro="" textlink="">
      <xdr:nvSpPr>
        <xdr:cNvPr id="15" name="TextBox 14">
          <a:extLst>
            <a:ext uri="{FF2B5EF4-FFF2-40B4-BE49-F238E27FC236}">
              <a16:creationId xmlns:a16="http://schemas.microsoft.com/office/drawing/2014/main" id="{A68F97FD-98E0-AC7C-DC80-BAE22C589B55}"/>
            </a:ext>
          </a:extLst>
        </xdr:cNvPr>
        <xdr:cNvSpPr txBox="1"/>
      </xdr:nvSpPr>
      <xdr:spPr>
        <a:xfrm>
          <a:off x="3517900" y="153733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1</xdr:col>
      <xdr:colOff>527050</xdr:colOff>
      <xdr:row>79</xdr:row>
      <xdr:rowOff>152400</xdr:rowOff>
    </xdr:from>
    <xdr:to>
      <xdr:col>17</xdr:col>
      <xdr:colOff>158750</xdr:colOff>
      <xdr:row>100</xdr:row>
      <xdr:rowOff>101600</xdr:rowOff>
    </xdr:to>
    <xdr:sp macro="" textlink="">
      <xdr:nvSpPr>
        <xdr:cNvPr id="16" name="TextBox 15">
          <a:extLst>
            <a:ext uri="{FF2B5EF4-FFF2-40B4-BE49-F238E27FC236}">
              <a16:creationId xmlns:a16="http://schemas.microsoft.com/office/drawing/2014/main" id="{45C28B93-309B-2A95-CD14-FDFAAF36CC81}"/>
            </a:ext>
          </a:extLst>
        </xdr:cNvPr>
        <xdr:cNvSpPr txBox="1"/>
      </xdr:nvSpPr>
      <xdr:spPr>
        <a:xfrm>
          <a:off x="1136650" y="14846300"/>
          <a:ext cx="9385300" cy="3816350"/>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chemeClr val="dk1"/>
              </a:solidFill>
              <a:effectLst/>
              <a:latin typeface="+mn-lt"/>
              <a:ea typeface="+mn-ea"/>
              <a:cs typeface="+mn-cs"/>
            </a:rPr>
            <a:t>1. Discount vs. Engagement (whether larger discounts are associated with more reviews): No. Larger discounts do not lead to more reviews. Medium discount products average about 15 reviews, compared to only 11 for high discount and 9 for low discount products, with a weak negative correlation of -0.14. Sellers should experiment with 20 to 40 percent discounts rather than defaulting to the deepest markdown.</a:t>
          </a:r>
        </a:p>
        <a:p>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 2. Rating vs. Engagement (whether highly rated products attract stronger engagement): No. Higher ratings do not translate into stronger engagement. The correlation between rating and review count is just 0.06, essentially no relationship, meaning customers leave reviews regardless of quality. Sellers with average-rated but highly reviewed products should focus on improving photos and descriptions rather than assuming rating alone drives traffic.</a:t>
          </a:r>
        </a:p>
        <a:p>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 3. Price vs. Rating (whether price and rating move together): No. Price and rating show only a weak positive correlation of 0.11, so higher priced products are not clearly rated better in this data. Sellers should not assume that raising prices signals higher quality. Many products are missing a rating entirely, which keeps this finding directional rather than conclusive.</a:t>
          </a:r>
        </a:p>
        <a:p>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 4. Top Performers (which products perform best based on ratings and reviews): Yes, a small group leads. A handful of listings, like the 120W Cordless Vacuum Cleaner with 69 reviews and the 6 In 1 Bottle Can Opener with a 64 percent discount, clearly outperform the rest, and seven products share a perfect five-star rating. Sellers should study what makes these listings stand out and apply the same ideas to weaker performers. </a:t>
          </a:r>
        </a:p>
        <a:p>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5. Pricing/Marketing Attention (which products may need a different pricing or marketing strategy): Yes, 22 products need it. Twenty-two products combine a high discount with an average or poor rating, meaning the discount isn't fixing an underlying weakness. Sellers should prioritize these 22 listings for pricing review or improved marketing rather than assuming a bigger discount will solve the problem.</a:t>
          </a:r>
          <a:endParaRPr lang="en-US" sz="1400">
            <a:latin typeface="Times New Roman" panose="02020603050405020304" pitchFamily="18" charset="0"/>
            <a:cs typeface="Times New Roman" panose="02020603050405020304" pitchFamily="18" charset="0"/>
          </a:endParaRPr>
        </a:p>
      </xdr:txBody>
    </xdr:sp>
    <xdr:clientData/>
  </xdr:twoCellAnchor>
  <xdr:twoCellAnchor>
    <xdr:from>
      <xdr:col>20</xdr:col>
      <xdr:colOff>0</xdr:colOff>
      <xdr:row>66</xdr:row>
      <xdr:rowOff>0</xdr:rowOff>
    </xdr:from>
    <xdr:to>
      <xdr:col>27</xdr:col>
      <xdr:colOff>324556</xdr:colOff>
      <xdr:row>80</xdr:row>
      <xdr:rowOff>26811</xdr:rowOff>
    </xdr:to>
    <xdr:graphicFrame macro="">
      <xdr:nvGraphicFramePr>
        <xdr:cNvPr id="17" name="Chart 16">
          <a:extLst>
            <a:ext uri="{FF2B5EF4-FFF2-40B4-BE49-F238E27FC236}">
              <a16:creationId xmlns:a16="http://schemas.microsoft.com/office/drawing/2014/main" id="{B5D14A18-5592-4997-8214-C828D1B657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van Paulo" refreshedDate="46274.856859259256" createdVersion="8" refreshedVersion="8" minRefreshableVersion="3" recordCount="115" xr:uid="{FB161289-7FB6-46F9-B526-AEF29595AD0F}">
  <cacheSource type="worksheet">
    <worksheetSource name="tblProducts"/>
  </cacheSource>
  <cacheFields count="12">
    <cacheField name="Product" numFmtId="0">
      <sharedItems count="109">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Ksh)" numFmtId="2">
      <sharedItems containsSemiMixedTypes="0" containsString="0" containsNumber="1" containsInteger="1" minValue="38" maxValue="3750"/>
    </cacheField>
    <cacheField name="old price (Ksh)" numFmtId="2">
      <sharedItems containsSemiMixedTypes="0" containsString="0" containsNumber="1" containsInteger="1" minValue="80" maxValue="6143"/>
    </cacheField>
    <cacheField name="Discount" numFmtId="10">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cacheField>
    <cacheField name="Review" numFmtId="1">
      <sharedItems containsString="0" containsBlank="1" containsNumber="1" containsInteger="1" minValue="1" maxValue="69"/>
    </cacheField>
    <cacheField name="Rating" numFmtId="0">
      <sharedItems containsMixedTypes="1" containsNumber="1" minValue="2" maxValue="5" count="23">
        <n v="4.5"/>
        <n v="4.0999999999999996"/>
        <n v="4.5999999999999996"/>
        <n v="4.7"/>
        <n v="4.8"/>
        <n v="4"/>
        <n v="3.8"/>
        <n v="4.2"/>
        <n v="5"/>
        <n v="3.3"/>
        <s v=""/>
        <n v="4.4000000000000004"/>
        <n v="4.3"/>
        <n v="2.5"/>
        <n v="3"/>
        <n v="2.1"/>
        <n v="2.8"/>
        <n v="2.7"/>
        <n v="2.9"/>
        <n v="2.2000000000000002"/>
        <n v="2.2999999999999998"/>
        <n v="2.6"/>
        <n v="2"/>
      </sharedItems>
    </cacheField>
    <cacheField name="Rating category" numFmtId="0">
      <sharedItems count="4">
        <s v="Average"/>
        <s v="Excellent"/>
        <s v="Missing"/>
        <s v="Poor"/>
      </sharedItems>
    </cacheField>
    <cacheField name="Discount category" numFmtId="0">
      <sharedItems count="3">
        <s v="Medium Discount"/>
        <s v="High Discount"/>
        <s v="Low Discount"/>
      </sharedItems>
    </cacheField>
    <cacheField name="Discount  Amount" numFmtId="2">
      <sharedItems containsSemiMixedTypes="0" containsString="0" containsNumber="1" containsInteger="1" minValue="24" maxValue="2585"/>
    </cacheField>
    <cacheField name="Rating Rank Key" numFmtId="0">
      <sharedItems containsMixedTypes="1" containsNumber="1" minValue="2.0000010000000001" maxValue="5.0000030000000004"/>
    </cacheField>
    <cacheField name="Review Rank key" numFmtId="0">
      <sharedItems containsMixedTypes="1" containsNumber="1" minValue="1.002" maxValue="69.002799999999993"/>
    </cacheField>
    <cacheField name="Discount Rank Key" numFmtId="0">
      <sharedItems containsSemiMixedTypes="0" containsString="0" containsNumber="1" minValue="0.01" maxValue="0.64"/>
    </cacheField>
  </cacheFields>
  <extLst>
    <ext xmlns:x14="http://schemas.microsoft.com/office/spreadsheetml/2009/9/main" uri="{725AE2AE-9491-48be-B2B4-4EB974FC3084}">
      <x14:pivotCacheDefinition pivotCacheId="6016249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n v="950"/>
    <n v="1525"/>
    <x v="0"/>
    <n v="2"/>
    <x v="0"/>
    <x v="0"/>
    <x v="0"/>
    <n v="575"/>
    <n v="4.5000020000000003"/>
    <n v="2.0045000000000002"/>
    <n v="0.38000200000000001"/>
  </r>
  <r>
    <x v="1"/>
    <n v="527"/>
    <n v="999"/>
    <x v="1"/>
    <n v="14"/>
    <x v="1"/>
    <x v="0"/>
    <x v="1"/>
    <n v="472"/>
    <n v="4.1000139999999998"/>
    <n v="14.004099999999999"/>
    <n v="0.47001399999999999"/>
  </r>
  <r>
    <x v="2"/>
    <n v="2199"/>
    <n v="2923"/>
    <x v="2"/>
    <n v="24"/>
    <x v="2"/>
    <x v="1"/>
    <x v="0"/>
    <n v="724"/>
    <n v="4.6000239999999994"/>
    <n v="24.0046"/>
    <n v="0.25002400000000002"/>
  </r>
  <r>
    <x v="3"/>
    <n v="1580"/>
    <n v="2499"/>
    <x v="3"/>
    <n v="7"/>
    <x v="3"/>
    <x v="1"/>
    <x v="0"/>
    <n v="919"/>
    <n v="4.7000070000000003"/>
    <n v="7.0046999999999997"/>
    <n v="0.37000699999999997"/>
  </r>
  <r>
    <x v="4"/>
    <n v="1740"/>
    <n v="2356"/>
    <x v="4"/>
    <n v="5"/>
    <x v="4"/>
    <x v="1"/>
    <x v="0"/>
    <n v="616"/>
    <n v="4.8000049999999996"/>
    <n v="5.0048000000000004"/>
    <n v="0.26000499999999999"/>
  </r>
  <r>
    <x v="5"/>
    <n v="2999"/>
    <n v="3290"/>
    <x v="5"/>
    <n v="15"/>
    <x v="5"/>
    <x v="0"/>
    <x v="2"/>
    <n v="291"/>
    <n v="4.0000150000000003"/>
    <n v="15.004"/>
    <n v="9.0014999999999998E-2"/>
  </r>
  <r>
    <x v="6"/>
    <n v="2319"/>
    <n v="3032"/>
    <x v="6"/>
    <n v="55"/>
    <x v="2"/>
    <x v="1"/>
    <x v="0"/>
    <n v="713"/>
    <n v="4.6000549999999993"/>
    <n v="55.004600000000003"/>
    <n v="0.24005499999999999"/>
  </r>
  <r>
    <x v="7"/>
    <n v="988"/>
    <n v="1580"/>
    <x v="3"/>
    <n v="2"/>
    <x v="5"/>
    <x v="0"/>
    <x v="0"/>
    <n v="592"/>
    <n v="4.0000020000000003"/>
    <n v="2.004"/>
    <n v="0.370002"/>
  </r>
  <r>
    <x v="8"/>
    <n v="1274"/>
    <n v="2800"/>
    <x v="7"/>
    <n v="5"/>
    <x v="4"/>
    <x v="1"/>
    <x v="1"/>
    <n v="1526"/>
    <n v="4.8000049999999996"/>
    <n v="5.0048000000000004"/>
    <n v="0.55000500000000008"/>
  </r>
  <r>
    <x v="9"/>
    <n v="1600"/>
    <n v="2929"/>
    <x v="8"/>
    <n v="5"/>
    <x v="6"/>
    <x v="0"/>
    <x v="1"/>
    <n v="1329"/>
    <n v="3.8000049999999996"/>
    <n v="5.0038"/>
    <n v="0.45000499999999999"/>
  </r>
  <r>
    <x v="10"/>
    <n v="799"/>
    <n v="999"/>
    <x v="9"/>
    <n v="12"/>
    <x v="1"/>
    <x v="0"/>
    <x v="0"/>
    <n v="200"/>
    <n v="4.1000119999999995"/>
    <n v="12.004099999999999"/>
    <n v="0.20001200000000002"/>
  </r>
  <r>
    <x v="11"/>
    <n v="990"/>
    <n v="1500"/>
    <x v="10"/>
    <n v="39"/>
    <x v="3"/>
    <x v="1"/>
    <x v="0"/>
    <n v="510"/>
    <n v="4.7000390000000003"/>
    <n v="39.0047"/>
    <n v="0.34003900000000004"/>
  </r>
  <r>
    <x v="12"/>
    <n v="552"/>
    <n v="1035"/>
    <x v="1"/>
    <n v="12"/>
    <x v="4"/>
    <x v="1"/>
    <x v="1"/>
    <n v="483"/>
    <n v="4.8000119999999997"/>
    <n v="12.004799999999999"/>
    <n v="0.47001199999999999"/>
  </r>
  <r>
    <x v="13"/>
    <n v="501"/>
    <n v="860"/>
    <x v="11"/>
    <n v="6"/>
    <x v="0"/>
    <x v="0"/>
    <x v="1"/>
    <n v="359"/>
    <n v="4.500006"/>
    <n v="6.0045000000000002"/>
    <n v="0.42000599999999999"/>
  </r>
  <r>
    <x v="14"/>
    <n v="1680"/>
    <n v="2499"/>
    <x v="12"/>
    <n v="9"/>
    <x v="7"/>
    <x v="0"/>
    <x v="0"/>
    <n v="819"/>
    <n v="4.2000090000000005"/>
    <n v="9.0042000000000009"/>
    <n v="0.330009"/>
  </r>
  <r>
    <x v="15"/>
    <n v="332"/>
    <n v="684"/>
    <x v="13"/>
    <n v="2"/>
    <x v="8"/>
    <x v="1"/>
    <x v="1"/>
    <n v="352"/>
    <n v="5.0000020000000003"/>
    <n v="2.0049999999999999"/>
    <n v="0.51000199999999996"/>
  </r>
  <r>
    <x v="16"/>
    <n v="195"/>
    <n v="360"/>
    <x v="14"/>
    <n v="2"/>
    <x v="8"/>
    <x v="1"/>
    <x v="1"/>
    <n v="165"/>
    <n v="5.0000020000000003"/>
    <n v="2.0049999999999999"/>
    <n v="0.46000200000000002"/>
  </r>
  <r>
    <x v="17"/>
    <n v="2025"/>
    <n v="3971"/>
    <x v="15"/>
    <n v="3"/>
    <x v="8"/>
    <x v="1"/>
    <x v="1"/>
    <n v="1946"/>
    <n v="5.0000030000000004"/>
    <n v="3.0049999999999999"/>
    <n v="0.49000299999999997"/>
  </r>
  <r>
    <x v="18"/>
    <n v="2999"/>
    <n v="3699"/>
    <x v="16"/>
    <n v="5"/>
    <x v="2"/>
    <x v="1"/>
    <x v="2"/>
    <n v="700"/>
    <n v="4.6000049999999995"/>
    <n v="5.0045999999999999"/>
    <n v="0.19000500000000001"/>
  </r>
  <r>
    <x v="19"/>
    <n v="998"/>
    <n v="1966"/>
    <x v="15"/>
    <n v="44"/>
    <x v="2"/>
    <x v="1"/>
    <x v="1"/>
    <n v="968"/>
    <n v="4.6000439999999996"/>
    <n v="44.004600000000003"/>
    <n v="0.49004399999999998"/>
  </r>
  <r>
    <x v="20"/>
    <n v="38"/>
    <n v="80"/>
    <x v="17"/>
    <n v="13"/>
    <x v="9"/>
    <x v="0"/>
    <x v="1"/>
    <n v="42"/>
    <n v="3.3000129999999999"/>
    <n v="13.003299999999999"/>
    <n v="0.53001300000000007"/>
  </r>
  <r>
    <x v="21"/>
    <n v="1860"/>
    <n v="3220"/>
    <x v="11"/>
    <m/>
    <x v="10"/>
    <x v="2"/>
    <x v="1"/>
    <n v="1360"/>
    <s v=""/>
    <s v=""/>
    <n v="0.42"/>
  </r>
  <r>
    <x v="22"/>
    <n v="880"/>
    <n v="1350"/>
    <x v="18"/>
    <n v="6"/>
    <x v="5"/>
    <x v="0"/>
    <x v="0"/>
    <n v="470"/>
    <n v="4.000006"/>
    <n v="6.0039999999999996"/>
    <n v="0.35000599999999998"/>
  </r>
  <r>
    <x v="23"/>
    <n v="1650"/>
    <n v="2150"/>
    <x v="19"/>
    <n v="14"/>
    <x v="11"/>
    <x v="0"/>
    <x v="0"/>
    <n v="500"/>
    <n v="4.4000140000000005"/>
    <n v="14.0044"/>
    <n v="0.230014"/>
  </r>
  <r>
    <x v="24"/>
    <n v="2048"/>
    <n v="4500"/>
    <x v="20"/>
    <n v="7"/>
    <x v="12"/>
    <x v="0"/>
    <x v="1"/>
    <n v="2452"/>
    <n v="4.3000069999999999"/>
    <n v="7.0042999999999997"/>
    <n v="0.54000700000000001"/>
  </r>
  <r>
    <x v="25"/>
    <n v="420"/>
    <n v="647"/>
    <x v="18"/>
    <n v="49"/>
    <x v="2"/>
    <x v="1"/>
    <x v="0"/>
    <n v="227"/>
    <n v="4.6000489999999994"/>
    <n v="49.004600000000003"/>
    <n v="0.350049"/>
  </r>
  <r>
    <x v="26"/>
    <n v="2880"/>
    <n v="3520"/>
    <x v="21"/>
    <n v="12"/>
    <x v="6"/>
    <x v="0"/>
    <x v="2"/>
    <n v="640"/>
    <n v="3.8000119999999997"/>
    <n v="12.0038"/>
    <n v="0.18001200000000001"/>
  </r>
  <r>
    <x v="27"/>
    <n v="1350"/>
    <n v="1990"/>
    <x v="22"/>
    <n v="13"/>
    <x v="6"/>
    <x v="0"/>
    <x v="0"/>
    <n v="640"/>
    <n v="3.8000129999999999"/>
    <n v="13.0038"/>
    <n v="0.32001299999999999"/>
  </r>
  <r>
    <x v="28"/>
    <n v="1758"/>
    <n v="2499"/>
    <x v="23"/>
    <n v="20"/>
    <x v="1"/>
    <x v="0"/>
    <x v="0"/>
    <n v="741"/>
    <n v="4.1000199999999998"/>
    <n v="20.004100000000001"/>
    <n v="0.30002000000000001"/>
  </r>
  <r>
    <x v="29"/>
    <n v="2200"/>
    <n v="4080"/>
    <x v="14"/>
    <m/>
    <x v="10"/>
    <x v="2"/>
    <x v="1"/>
    <n v="1880"/>
    <s v=""/>
    <s v=""/>
    <n v="0.46"/>
  </r>
  <r>
    <x v="30"/>
    <n v="185"/>
    <n v="382"/>
    <x v="24"/>
    <n v="9"/>
    <x v="12"/>
    <x v="0"/>
    <x v="1"/>
    <n v="197"/>
    <n v="4.3000090000000002"/>
    <n v="9.0043000000000006"/>
    <n v="0.52000900000000005"/>
  </r>
  <r>
    <x v="31"/>
    <n v="980"/>
    <n v="1490"/>
    <x v="10"/>
    <n v="12"/>
    <x v="3"/>
    <x v="1"/>
    <x v="0"/>
    <n v="510"/>
    <n v="4.7000120000000001"/>
    <n v="12.0047"/>
    <n v="0.34001200000000004"/>
  </r>
  <r>
    <x v="32"/>
    <n v="1820"/>
    <n v="3490"/>
    <x v="25"/>
    <n v="9"/>
    <x v="12"/>
    <x v="0"/>
    <x v="1"/>
    <n v="1670"/>
    <n v="4.3000090000000002"/>
    <n v="9.0043000000000006"/>
    <n v="0.48000899999999996"/>
  </r>
  <r>
    <x v="33"/>
    <n v="1940"/>
    <n v="2650"/>
    <x v="26"/>
    <n v="20"/>
    <x v="3"/>
    <x v="1"/>
    <x v="0"/>
    <n v="710"/>
    <n v="4.7000200000000003"/>
    <n v="20.0047"/>
    <n v="0.27002000000000004"/>
  </r>
  <r>
    <x v="34"/>
    <n v="1980"/>
    <n v="2699"/>
    <x v="26"/>
    <n v="32"/>
    <x v="0"/>
    <x v="0"/>
    <x v="0"/>
    <n v="719"/>
    <n v="4.500032"/>
    <n v="32.0045"/>
    <n v="0.27003199999999999"/>
  </r>
  <r>
    <x v="35"/>
    <n v="1620"/>
    <n v="2690"/>
    <x v="27"/>
    <n v="1"/>
    <x v="8"/>
    <x v="1"/>
    <x v="0"/>
    <n v="1070"/>
    <n v="5.0000010000000001"/>
    <n v="1.0049999999999999"/>
    <n v="0.400001"/>
  </r>
  <r>
    <x v="36"/>
    <n v="171"/>
    <n v="360"/>
    <x v="17"/>
    <n v="2"/>
    <x v="8"/>
    <x v="1"/>
    <x v="1"/>
    <n v="189"/>
    <n v="5.0000020000000003"/>
    <n v="2.0049999999999999"/>
    <n v="0.53000199999999997"/>
  </r>
  <r>
    <x v="37"/>
    <n v="389"/>
    <n v="656"/>
    <x v="28"/>
    <n v="36"/>
    <x v="12"/>
    <x v="0"/>
    <x v="1"/>
    <n v="267"/>
    <n v="4.3000359999999995"/>
    <n v="36.004300000000001"/>
    <n v="0.41003599999999996"/>
  </r>
  <r>
    <x v="38"/>
    <n v="1620"/>
    <n v="2200"/>
    <x v="0"/>
    <n v="2"/>
    <x v="0"/>
    <x v="0"/>
    <x v="0"/>
    <n v="580"/>
    <n v="4.5000020000000003"/>
    <n v="2.0045000000000002"/>
    <n v="0.38000200000000001"/>
  </r>
  <r>
    <x v="39"/>
    <n v="2750"/>
    <n v="4471"/>
    <x v="0"/>
    <m/>
    <x v="10"/>
    <x v="2"/>
    <x v="0"/>
    <n v="1721"/>
    <s v=""/>
    <s v=""/>
    <n v="0.38"/>
  </r>
  <r>
    <x v="40"/>
    <n v="475"/>
    <n v="931"/>
    <x v="15"/>
    <m/>
    <x v="10"/>
    <x v="2"/>
    <x v="1"/>
    <n v="456"/>
    <s v=""/>
    <s v=""/>
    <n v="0.49"/>
  </r>
  <r>
    <x v="41"/>
    <n v="238"/>
    <n v="476"/>
    <x v="29"/>
    <m/>
    <x v="10"/>
    <x v="2"/>
    <x v="1"/>
    <n v="238"/>
    <s v=""/>
    <s v=""/>
    <n v="0.5"/>
  </r>
  <r>
    <x v="42"/>
    <n v="610"/>
    <n v="1060"/>
    <x v="11"/>
    <m/>
    <x v="10"/>
    <x v="2"/>
    <x v="1"/>
    <n v="450"/>
    <s v=""/>
    <s v=""/>
    <n v="0.42"/>
  </r>
  <r>
    <x v="42"/>
    <n v="610"/>
    <n v="1060"/>
    <x v="11"/>
    <m/>
    <x v="10"/>
    <x v="2"/>
    <x v="1"/>
    <n v="450"/>
    <s v=""/>
    <s v=""/>
    <n v="0.42"/>
  </r>
  <r>
    <x v="43"/>
    <n v="2132"/>
    <n v="2169"/>
    <x v="30"/>
    <m/>
    <x v="10"/>
    <x v="2"/>
    <x v="2"/>
    <n v="37"/>
    <s v=""/>
    <s v=""/>
    <n v="0.02"/>
  </r>
  <r>
    <x v="44"/>
    <n v="999"/>
    <n v="2000"/>
    <x v="29"/>
    <m/>
    <x v="10"/>
    <x v="2"/>
    <x v="1"/>
    <n v="1001"/>
    <s v=""/>
    <s v=""/>
    <n v="0.5"/>
  </r>
  <r>
    <x v="45"/>
    <n v="1190"/>
    <n v="1785"/>
    <x v="12"/>
    <m/>
    <x v="10"/>
    <x v="2"/>
    <x v="0"/>
    <n v="595"/>
    <s v=""/>
    <s v=""/>
    <n v="0.33"/>
  </r>
  <r>
    <x v="46"/>
    <n v="671"/>
    <n v="1316"/>
    <x v="15"/>
    <m/>
    <x v="10"/>
    <x v="2"/>
    <x v="1"/>
    <n v="645"/>
    <s v=""/>
    <s v=""/>
    <n v="0.49"/>
  </r>
  <r>
    <x v="47"/>
    <n v="1200"/>
    <n v="1950"/>
    <x v="0"/>
    <m/>
    <x v="10"/>
    <x v="2"/>
    <x v="0"/>
    <n v="750"/>
    <s v=""/>
    <s v=""/>
    <n v="0.38"/>
  </r>
  <r>
    <x v="48"/>
    <n v="199"/>
    <n v="504"/>
    <x v="31"/>
    <m/>
    <x v="10"/>
    <x v="2"/>
    <x v="1"/>
    <n v="305"/>
    <s v=""/>
    <s v=""/>
    <n v="0.61"/>
  </r>
  <r>
    <x v="49"/>
    <n v="299"/>
    <n v="600"/>
    <x v="29"/>
    <m/>
    <x v="10"/>
    <x v="2"/>
    <x v="1"/>
    <n v="301"/>
    <s v=""/>
    <s v=""/>
    <n v="0.5"/>
  </r>
  <r>
    <x v="50"/>
    <n v="1660"/>
    <n v="1699"/>
    <x v="30"/>
    <m/>
    <x v="10"/>
    <x v="2"/>
    <x v="2"/>
    <n v="39"/>
    <s v=""/>
    <s v=""/>
    <n v="0.02"/>
  </r>
  <r>
    <x v="51"/>
    <n v="299"/>
    <n v="384"/>
    <x v="32"/>
    <m/>
    <x v="10"/>
    <x v="2"/>
    <x v="0"/>
    <n v="85"/>
    <s v=""/>
    <s v=""/>
    <n v="0.22"/>
  </r>
  <r>
    <x v="52"/>
    <n v="1459"/>
    <n v="1499"/>
    <x v="33"/>
    <m/>
    <x v="10"/>
    <x v="2"/>
    <x v="2"/>
    <n v="40"/>
    <s v=""/>
    <s v=""/>
    <n v="0.03"/>
  </r>
  <r>
    <x v="53"/>
    <n v="799"/>
    <n v="1343"/>
    <x v="28"/>
    <m/>
    <x v="10"/>
    <x v="2"/>
    <x v="1"/>
    <n v="544"/>
    <s v=""/>
    <s v=""/>
    <n v="0.41"/>
  </r>
  <r>
    <x v="54"/>
    <n v="499"/>
    <n v="900"/>
    <x v="8"/>
    <m/>
    <x v="10"/>
    <x v="2"/>
    <x v="1"/>
    <n v="401"/>
    <s v=""/>
    <s v=""/>
    <n v="0.45"/>
  </r>
  <r>
    <x v="55"/>
    <n v="699"/>
    <n v="1343"/>
    <x v="25"/>
    <m/>
    <x v="10"/>
    <x v="2"/>
    <x v="1"/>
    <n v="644"/>
    <s v=""/>
    <s v=""/>
    <n v="0.48"/>
  </r>
  <r>
    <x v="56"/>
    <n v="799"/>
    <n v="1567"/>
    <x v="15"/>
    <m/>
    <x v="10"/>
    <x v="2"/>
    <x v="1"/>
    <n v="768"/>
    <s v=""/>
    <s v=""/>
    <n v="0.49"/>
  </r>
  <r>
    <x v="57"/>
    <n v="2799"/>
    <n v="3810"/>
    <x v="26"/>
    <m/>
    <x v="10"/>
    <x v="2"/>
    <x v="0"/>
    <n v="1011"/>
    <s v=""/>
    <s v=""/>
    <n v="0.27"/>
  </r>
  <r>
    <x v="54"/>
    <n v="399"/>
    <n v="896"/>
    <x v="7"/>
    <m/>
    <x v="10"/>
    <x v="2"/>
    <x v="1"/>
    <n v="497"/>
    <s v=""/>
    <s v=""/>
    <n v="0.55000000000000004"/>
  </r>
  <r>
    <x v="58"/>
    <n v="2170"/>
    <n v="2500"/>
    <x v="34"/>
    <n v="6"/>
    <x v="13"/>
    <x v="3"/>
    <x v="2"/>
    <n v="330"/>
    <n v="2.500006"/>
    <n v="6.0025000000000004"/>
    <n v="0.13000600000000001"/>
  </r>
  <r>
    <x v="59"/>
    <n v="458"/>
    <n v="986"/>
    <x v="20"/>
    <n v="10"/>
    <x v="14"/>
    <x v="0"/>
    <x v="1"/>
    <n v="528"/>
    <n v="3.0000100000000001"/>
    <n v="10.003"/>
    <n v="0.54000999999999999"/>
  </r>
  <r>
    <x v="60"/>
    <n v="2115"/>
    <n v="4700"/>
    <x v="7"/>
    <n v="13"/>
    <x v="15"/>
    <x v="3"/>
    <x v="1"/>
    <n v="2585"/>
    <n v="2.1000130000000001"/>
    <n v="13.0021"/>
    <n v="0.55001300000000009"/>
  </r>
  <r>
    <x v="61"/>
    <n v="445"/>
    <n v="873"/>
    <x v="15"/>
    <n v="69"/>
    <x v="16"/>
    <x v="3"/>
    <x v="1"/>
    <n v="428"/>
    <n v="2.8000689999999997"/>
    <n v="69.002799999999993"/>
    <n v="0.49006899999999998"/>
  </r>
  <r>
    <x v="62"/>
    <n v="325"/>
    <n v="680"/>
    <x v="24"/>
    <n v="15"/>
    <x v="17"/>
    <x v="3"/>
    <x v="1"/>
    <n v="355"/>
    <n v="2.7000150000000001"/>
    <n v="15.002700000000001"/>
    <n v="0.52001500000000001"/>
  </r>
  <r>
    <x v="63"/>
    <n v="1220"/>
    <n v="1555"/>
    <x v="32"/>
    <n v="16"/>
    <x v="18"/>
    <x v="3"/>
    <x v="0"/>
    <n v="335"/>
    <n v="2.9000159999999999"/>
    <n v="16.0029"/>
    <n v="0.22001599999999999"/>
  </r>
  <r>
    <x v="64"/>
    <n v="990"/>
    <n v="1814"/>
    <x v="8"/>
    <n v="6"/>
    <x v="19"/>
    <x v="3"/>
    <x v="1"/>
    <n v="824"/>
    <n v="2.2000060000000001"/>
    <n v="6.0022000000000002"/>
    <n v="0.45000600000000002"/>
  </r>
  <r>
    <x v="65"/>
    <n v="1000"/>
    <n v="2000"/>
    <x v="29"/>
    <n v="7"/>
    <x v="20"/>
    <x v="3"/>
    <x v="1"/>
    <n v="1000"/>
    <n v="2.3000069999999999"/>
    <n v="7.0023"/>
    <n v="0.50000699999999998"/>
  </r>
  <r>
    <x v="66"/>
    <n v="3750"/>
    <n v="6143"/>
    <x v="35"/>
    <n v="5"/>
    <x v="14"/>
    <x v="0"/>
    <x v="0"/>
    <n v="2393"/>
    <n v="3.0000049999999998"/>
    <n v="5.0030000000000001"/>
    <n v="0.39000499999999999"/>
  </r>
  <r>
    <x v="67"/>
    <n v="382"/>
    <n v="700"/>
    <x v="8"/>
    <n v="17"/>
    <x v="21"/>
    <x v="3"/>
    <x v="1"/>
    <n v="318"/>
    <n v="2.6000170000000002"/>
    <n v="17.002600000000001"/>
    <n v="0.450017"/>
  </r>
  <r>
    <x v="68"/>
    <n v="2300"/>
    <n v="3240"/>
    <x v="36"/>
    <n v="5"/>
    <x v="14"/>
    <x v="0"/>
    <x v="0"/>
    <n v="940"/>
    <n v="3.0000049999999998"/>
    <n v="5.0030000000000001"/>
    <n v="0.29000499999999996"/>
  </r>
  <r>
    <x v="69"/>
    <n v="345"/>
    <n v="602"/>
    <x v="37"/>
    <n v="6"/>
    <x v="20"/>
    <x v="3"/>
    <x v="1"/>
    <n v="257"/>
    <n v="2.3000059999999998"/>
    <n v="6.0023"/>
    <n v="0.430006"/>
  </r>
  <r>
    <x v="70"/>
    <n v="509"/>
    <n v="899"/>
    <x v="37"/>
    <n v="5"/>
    <x v="14"/>
    <x v="0"/>
    <x v="1"/>
    <n v="390"/>
    <n v="3.0000049999999998"/>
    <n v="5.0030000000000001"/>
    <n v="0.43000499999999997"/>
  </r>
  <r>
    <x v="71"/>
    <n v="968"/>
    <n v="1814"/>
    <x v="1"/>
    <n v="6"/>
    <x v="19"/>
    <x v="3"/>
    <x v="1"/>
    <n v="846"/>
    <n v="2.2000060000000001"/>
    <n v="6.0022000000000002"/>
    <n v="0.47000599999999998"/>
  </r>
  <r>
    <x v="72"/>
    <n v="1570"/>
    <n v="2988"/>
    <x v="1"/>
    <n v="7"/>
    <x v="15"/>
    <x v="3"/>
    <x v="1"/>
    <n v="1418"/>
    <n v="2.1000070000000002"/>
    <n v="7.0021000000000004"/>
    <n v="0.47000699999999995"/>
  </r>
  <r>
    <x v="73"/>
    <n v="790"/>
    <n v="1485"/>
    <x v="1"/>
    <m/>
    <x v="10"/>
    <x v="2"/>
    <x v="1"/>
    <n v="695"/>
    <s v=""/>
    <s v=""/>
    <n v="0.47"/>
  </r>
  <r>
    <x v="74"/>
    <n v="690"/>
    <n v="1200"/>
    <x v="37"/>
    <m/>
    <x v="10"/>
    <x v="2"/>
    <x v="1"/>
    <n v="510"/>
    <s v=""/>
    <s v=""/>
    <n v="0.43"/>
  </r>
  <r>
    <x v="75"/>
    <n v="1732"/>
    <n v="1799"/>
    <x v="38"/>
    <m/>
    <x v="10"/>
    <x v="2"/>
    <x v="2"/>
    <n v="67"/>
    <s v=""/>
    <s v=""/>
    <n v="0.04"/>
  </r>
  <r>
    <x v="76"/>
    <n v="230"/>
    <n v="450"/>
    <x v="15"/>
    <m/>
    <x v="10"/>
    <x v="2"/>
    <x v="1"/>
    <n v="220"/>
    <s v=""/>
    <s v=""/>
    <n v="0.49"/>
  </r>
  <r>
    <x v="77"/>
    <n v="1189"/>
    <n v="2199"/>
    <x v="14"/>
    <n v="1"/>
    <x v="14"/>
    <x v="0"/>
    <x v="1"/>
    <n v="1010"/>
    <n v="3.0000010000000001"/>
    <n v="1.0029999999999999"/>
    <n v="0.46000099999999999"/>
  </r>
  <r>
    <x v="78"/>
    <n v="979"/>
    <n v="1920"/>
    <x v="15"/>
    <n v="1"/>
    <x v="8"/>
    <x v="1"/>
    <x v="1"/>
    <n v="941"/>
    <n v="5.0000010000000001"/>
    <n v="1.0049999999999999"/>
    <n v="0.49000099999999996"/>
  </r>
  <r>
    <x v="79"/>
    <n v="1460"/>
    <n v="2290"/>
    <x v="39"/>
    <m/>
    <x v="10"/>
    <x v="2"/>
    <x v="0"/>
    <n v="830"/>
    <s v=""/>
    <s v=""/>
    <n v="0.36"/>
  </r>
  <r>
    <x v="80"/>
    <n v="1666"/>
    <n v="1699"/>
    <x v="30"/>
    <m/>
    <x v="10"/>
    <x v="2"/>
    <x v="2"/>
    <n v="33"/>
    <s v=""/>
    <s v=""/>
    <n v="0.02"/>
  </r>
  <r>
    <x v="81"/>
    <n v="330"/>
    <n v="647"/>
    <x v="15"/>
    <n v="1"/>
    <x v="5"/>
    <x v="0"/>
    <x v="1"/>
    <n v="317"/>
    <n v="4.0000010000000001"/>
    <n v="1.004"/>
    <n v="0.49000099999999996"/>
  </r>
  <r>
    <x v="42"/>
    <n v="610"/>
    <n v="1060"/>
    <x v="11"/>
    <m/>
    <x v="10"/>
    <x v="2"/>
    <x v="1"/>
    <n v="450"/>
    <s v=""/>
    <s v=""/>
    <n v="0.42"/>
  </r>
  <r>
    <x v="48"/>
    <n v="176"/>
    <n v="345"/>
    <x v="15"/>
    <m/>
    <x v="10"/>
    <x v="2"/>
    <x v="1"/>
    <n v="169"/>
    <s v=""/>
    <s v=""/>
    <n v="0.49"/>
  </r>
  <r>
    <x v="82"/>
    <n v="1466"/>
    <n v="1699"/>
    <x v="40"/>
    <m/>
    <x v="10"/>
    <x v="2"/>
    <x v="2"/>
    <n v="233"/>
    <s v=""/>
    <s v=""/>
    <n v="0.14000000000000001"/>
  </r>
  <r>
    <x v="83"/>
    <n v="274"/>
    <n v="537"/>
    <x v="15"/>
    <m/>
    <x v="10"/>
    <x v="2"/>
    <x v="1"/>
    <n v="263"/>
    <s v=""/>
    <s v=""/>
    <n v="0.49"/>
  </r>
  <r>
    <x v="84"/>
    <n v="799"/>
    <n v="900"/>
    <x v="41"/>
    <m/>
    <x v="10"/>
    <x v="2"/>
    <x v="2"/>
    <n v="101"/>
    <s v=""/>
    <s v=""/>
    <n v="0.11"/>
  </r>
  <r>
    <x v="56"/>
    <n v="657"/>
    <n v="1288"/>
    <x v="15"/>
    <m/>
    <x v="10"/>
    <x v="2"/>
    <x v="1"/>
    <n v="631"/>
    <s v=""/>
    <s v=""/>
    <n v="0.49"/>
  </r>
  <r>
    <x v="85"/>
    <n v="1468"/>
    <n v="1699"/>
    <x v="40"/>
    <m/>
    <x v="10"/>
    <x v="2"/>
    <x v="2"/>
    <n v="231"/>
    <s v=""/>
    <s v=""/>
    <n v="0.14000000000000001"/>
  </r>
  <r>
    <x v="86"/>
    <n v="630"/>
    <n v="1100"/>
    <x v="37"/>
    <m/>
    <x v="10"/>
    <x v="2"/>
    <x v="1"/>
    <n v="470"/>
    <s v=""/>
    <s v=""/>
    <n v="0.43"/>
  </r>
  <r>
    <x v="87"/>
    <n v="850"/>
    <n v="1700"/>
    <x v="29"/>
    <m/>
    <x v="10"/>
    <x v="2"/>
    <x v="1"/>
    <n v="850"/>
    <s v=""/>
    <s v=""/>
    <n v="0.5"/>
  </r>
  <r>
    <x v="88"/>
    <n v="1300"/>
    <n v="2500"/>
    <x v="25"/>
    <m/>
    <x v="10"/>
    <x v="2"/>
    <x v="1"/>
    <n v="1200"/>
    <s v=""/>
    <s v=""/>
    <n v="0.48"/>
  </r>
  <r>
    <x v="89"/>
    <n v="105"/>
    <n v="200"/>
    <x v="25"/>
    <m/>
    <x v="10"/>
    <x v="2"/>
    <x v="1"/>
    <n v="95"/>
    <s v=""/>
    <s v=""/>
    <n v="0.48"/>
  </r>
  <r>
    <x v="90"/>
    <n v="899"/>
    <n v="1699"/>
    <x v="1"/>
    <m/>
    <x v="10"/>
    <x v="2"/>
    <x v="1"/>
    <n v="800"/>
    <s v=""/>
    <s v=""/>
    <n v="0.47"/>
  </r>
  <r>
    <x v="90"/>
    <n v="899"/>
    <n v="1699"/>
    <x v="1"/>
    <m/>
    <x v="10"/>
    <x v="2"/>
    <x v="1"/>
    <n v="800"/>
    <s v=""/>
    <s v=""/>
    <n v="0.47"/>
  </r>
  <r>
    <x v="91"/>
    <n v="1200"/>
    <n v="2400"/>
    <x v="29"/>
    <m/>
    <x v="10"/>
    <x v="2"/>
    <x v="1"/>
    <n v="1200"/>
    <s v=""/>
    <s v=""/>
    <n v="0.5"/>
  </r>
  <r>
    <x v="92"/>
    <n v="1526"/>
    <n v="1660"/>
    <x v="42"/>
    <m/>
    <x v="10"/>
    <x v="2"/>
    <x v="2"/>
    <n v="134"/>
    <s v=""/>
    <s v=""/>
    <n v="0.08"/>
  </r>
  <r>
    <x v="93"/>
    <n v="1462"/>
    <n v="1499"/>
    <x v="30"/>
    <m/>
    <x v="10"/>
    <x v="2"/>
    <x v="2"/>
    <n v="37"/>
    <s v=""/>
    <s v=""/>
    <n v="0.02"/>
  </r>
  <r>
    <x v="94"/>
    <n v="248"/>
    <n v="486"/>
    <x v="15"/>
    <m/>
    <x v="10"/>
    <x v="2"/>
    <x v="1"/>
    <n v="238"/>
    <s v=""/>
    <s v=""/>
    <n v="0.49"/>
  </r>
  <r>
    <x v="95"/>
    <n v="3546"/>
    <n v="3699"/>
    <x v="38"/>
    <m/>
    <x v="10"/>
    <x v="2"/>
    <x v="2"/>
    <n v="153"/>
    <s v=""/>
    <s v=""/>
    <n v="0.04"/>
  </r>
  <r>
    <x v="96"/>
    <n v="525"/>
    <n v="1029"/>
    <x v="15"/>
    <m/>
    <x v="10"/>
    <x v="2"/>
    <x v="1"/>
    <n v="504"/>
    <s v=""/>
    <s v=""/>
    <n v="0.49"/>
  </r>
  <r>
    <x v="97"/>
    <n v="1080"/>
    <n v="1874"/>
    <x v="11"/>
    <m/>
    <x v="10"/>
    <x v="2"/>
    <x v="1"/>
    <n v="794"/>
    <s v=""/>
    <s v=""/>
    <n v="0.42"/>
  </r>
  <r>
    <x v="98"/>
    <n v="3640"/>
    <n v="4588"/>
    <x v="43"/>
    <n v="1"/>
    <x v="8"/>
    <x v="1"/>
    <x v="0"/>
    <n v="948"/>
    <n v="5.0000010000000001"/>
    <n v="1.0049999999999999"/>
    <n v="0.21000099999999999"/>
  </r>
  <r>
    <x v="99"/>
    <n v="1420"/>
    <n v="2420"/>
    <x v="28"/>
    <m/>
    <x v="10"/>
    <x v="2"/>
    <x v="1"/>
    <n v="1000"/>
    <s v=""/>
    <s v=""/>
    <n v="0.41"/>
  </r>
  <r>
    <x v="100"/>
    <n v="1875"/>
    <n v="1899"/>
    <x v="44"/>
    <m/>
    <x v="10"/>
    <x v="2"/>
    <x v="2"/>
    <n v="24"/>
    <s v=""/>
    <s v=""/>
    <n v="0.01"/>
  </r>
  <r>
    <x v="101"/>
    <n v="198"/>
    <n v="260"/>
    <x v="6"/>
    <m/>
    <x v="10"/>
    <x v="2"/>
    <x v="0"/>
    <n v="62"/>
    <s v=""/>
    <s v=""/>
    <n v="0.24"/>
  </r>
  <r>
    <x v="102"/>
    <n v="1150"/>
    <n v="1737"/>
    <x v="10"/>
    <m/>
    <x v="10"/>
    <x v="2"/>
    <x v="0"/>
    <n v="587"/>
    <s v=""/>
    <s v=""/>
    <n v="0.34"/>
  </r>
  <r>
    <x v="103"/>
    <n v="1190"/>
    <n v="1810"/>
    <x v="10"/>
    <m/>
    <x v="10"/>
    <x v="2"/>
    <x v="0"/>
    <n v="620"/>
    <s v=""/>
    <s v=""/>
    <n v="0.34"/>
  </r>
  <r>
    <x v="104"/>
    <n v="1658"/>
    <n v="1699"/>
    <x v="30"/>
    <m/>
    <x v="10"/>
    <x v="2"/>
    <x v="2"/>
    <n v="41"/>
    <s v=""/>
    <s v=""/>
    <n v="0.02"/>
  </r>
  <r>
    <x v="105"/>
    <n v="1768"/>
    <n v="1799"/>
    <x v="30"/>
    <m/>
    <x v="10"/>
    <x v="2"/>
    <x v="2"/>
    <n v="31"/>
    <s v=""/>
    <s v=""/>
    <n v="0.02"/>
  </r>
  <r>
    <x v="106"/>
    <n v="199"/>
    <n v="553"/>
    <x v="45"/>
    <m/>
    <x v="10"/>
    <x v="2"/>
    <x v="1"/>
    <n v="354"/>
    <s v=""/>
    <s v=""/>
    <n v="0.64"/>
  </r>
  <r>
    <x v="107"/>
    <n v="450"/>
    <n v="900"/>
    <x v="29"/>
    <n v="1"/>
    <x v="22"/>
    <x v="3"/>
    <x v="1"/>
    <n v="450"/>
    <n v="2.0000010000000001"/>
    <n v="1.002"/>
    <n v="0.50000100000000003"/>
  </r>
  <r>
    <x v="108"/>
    <n v="169"/>
    <n v="320"/>
    <x v="1"/>
    <m/>
    <x v="10"/>
    <x v="2"/>
    <x v="1"/>
    <n v="151"/>
    <s v=""/>
    <s v=""/>
    <n v="0.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96C9B17-5049-4235-98A2-4339E6CD568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18:I29"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numFmtId="2" showAll="0"/>
    <pivotField numFmtId="2" showAll="0"/>
    <pivotField numFmtId="10" showAll="0"/>
    <pivotField dataField="1" showAll="0"/>
    <pivotField showAll="0"/>
    <pivotField showAll="0"/>
    <pivotField showAll="0"/>
    <pivotField numFmtId="2" showAll="0"/>
    <pivotField showAll="0"/>
    <pivotField showAll="0"/>
    <pivotField showAll="0"/>
  </pivotFields>
  <rowFields count="1">
    <field x="0"/>
  </rowFields>
  <rowItems count="11">
    <i>
      <x v="5"/>
    </i>
    <i>
      <x v="8"/>
    </i>
    <i>
      <x v="59"/>
    </i>
    <i>
      <x v="18"/>
    </i>
    <i>
      <x v="1"/>
    </i>
    <i>
      <x v="95"/>
    </i>
    <i>
      <x v="27"/>
    </i>
    <i>
      <x v="91"/>
    </i>
    <i>
      <x v="28"/>
    </i>
    <i>
      <x v="26"/>
    </i>
    <i t="grand">
      <x/>
    </i>
  </rowItems>
  <colItems count="1">
    <i/>
  </colItems>
  <dataFields count="1">
    <dataField name="Sum of Review" fld="4"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B06BF4F-6313-49C4-BD21-FA374C57CBA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M2:N13"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numFmtId="2" showAll="0"/>
    <pivotField numFmtId="2" showAll="0"/>
    <pivotField dataField="1" numFmtId="10" showAll="0"/>
    <pivotField showAll="0"/>
    <pivotField showAll="0"/>
    <pivotField showAll="0"/>
    <pivotField showAll="0"/>
    <pivotField numFmtId="2" showAll="0"/>
    <pivotField showAll="0"/>
    <pivotField showAll="0"/>
    <pivotField showAll="0"/>
  </pivotFields>
  <rowFields count="1">
    <field x="0"/>
  </rowFields>
  <rowItems count="11">
    <i>
      <x v="31"/>
    </i>
    <i>
      <x v="70"/>
    </i>
    <i>
      <x v="30"/>
    </i>
    <i>
      <x v="53"/>
    </i>
    <i>
      <x v="67"/>
    </i>
    <i>
      <x v="84"/>
    </i>
    <i>
      <x v="52"/>
    </i>
    <i>
      <x v="20"/>
    </i>
    <i>
      <x v="60"/>
    </i>
    <i>
      <x v="64"/>
    </i>
    <i t="grand">
      <x/>
    </i>
  </rowItems>
  <colItems count="1">
    <i/>
  </colItems>
  <dataFields count="1">
    <dataField name="Average of Discount" fld="3" subtotal="average"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0E1293-A1A4-498C-B250-4945E99DEAC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2:I13" firstHeaderRow="1" firstDataRow="1" firstDataCol="1"/>
  <pivotFields count="12">
    <pivotField axis="axisRow" showAll="0" measureFilter="1" sortType="descending">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autoSortScope>
        <pivotArea dataOnly="0" outline="0" fieldPosition="0">
          <references count="1">
            <reference field="4294967294" count="1" selected="0">
              <x v="0"/>
            </reference>
          </references>
        </pivotArea>
      </autoSortScope>
    </pivotField>
    <pivotField numFmtId="2" showAll="0"/>
    <pivotField numFmtId="2" showAll="0"/>
    <pivotField numFmtId="10" showAll="0"/>
    <pivotField showAll="0"/>
    <pivotField dataField="1" showAll="0"/>
    <pivotField showAll="0"/>
    <pivotField showAll="0"/>
    <pivotField numFmtId="2" showAll="0"/>
    <pivotField showAll="0"/>
    <pivotField showAll="0"/>
    <pivotField showAll="0"/>
  </pivotFields>
  <rowFields count="1">
    <field x="0"/>
  </rowFields>
  <rowItems count="11">
    <i>
      <x v="52"/>
    </i>
    <i>
      <x v="68"/>
    </i>
    <i>
      <x v="65"/>
    </i>
    <i>
      <x v="40"/>
    </i>
    <i>
      <x v="87"/>
    </i>
    <i>
      <x v="44"/>
    </i>
    <i>
      <x v="57"/>
    </i>
    <i>
      <x v="70"/>
    </i>
    <i>
      <x v="90"/>
    </i>
    <i>
      <x v="22"/>
    </i>
    <i t="grand">
      <x/>
    </i>
  </rowItems>
  <colItems count="1">
    <i/>
  </colItems>
  <dataFields count="1">
    <dataField name="Average of Rating" fld="5" subtotal="average"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D11773-3987-4FAC-B9CD-FFDC0180378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4:B28" firstHeaderRow="1" firstDataRow="1" firstDataCol="1"/>
  <pivotFields count="12">
    <pivotField showAll="0"/>
    <pivotField numFmtId="2" showAll="0"/>
    <pivotField numFmtId="2" showAll="0"/>
    <pivotField numFmtId="10" showAll="0"/>
    <pivotField dataField="1" showAll="0"/>
    <pivotField showAll="0"/>
    <pivotField showAll="0"/>
    <pivotField axis="axisRow" showAll="0">
      <items count="4">
        <item x="1"/>
        <item x="2"/>
        <item x="0"/>
        <item t="default"/>
      </items>
    </pivotField>
    <pivotField numFmtId="2" showAll="0"/>
    <pivotField showAll="0"/>
    <pivotField showAll="0"/>
    <pivotField showAll="0"/>
  </pivotFields>
  <rowFields count="1">
    <field x="7"/>
  </rowFields>
  <rowItems count="4">
    <i>
      <x/>
    </i>
    <i>
      <x v="1"/>
    </i>
    <i>
      <x v="2"/>
    </i>
    <i t="grand">
      <x/>
    </i>
  </rowItems>
  <colItems count="1">
    <i/>
  </colItems>
  <dataFields count="1">
    <dataField name="Average of Review" fld="4" subtotal="average" baseField="7" baseItem="0"/>
  </dataFields>
  <chartFormats count="3">
    <chartFormat chart="2"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9DCB90C-25D0-4471-842C-EAB3A6161C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4:B19" firstHeaderRow="1" firstDataRow="1" firstDataCol="1"/>
  <pivotFields count="12">
    <pivotField dataField="1" showAll="0"/>
    <pivotField numFmtId="2" showAll="0"/>
    <pivotField numFmtId="2" showAll="0"/>
    <pivotField numFmtId="10" showAll="0"/>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axis="axisRow" showAll="0">
      <items count="5">
        <item x="0"/>
        <item x="1"/>
        <item x="2"/>
        <item x="3"/>
        <item t="default"/>
      </items>
    </pivotField>
    <pivotField showAll="0"/>
    <pivotField numFmtId="2" showAll="0"/>
    <pivotField showAll="0"/>
    <pivotField showAll="0"/>
    <pivotField showAll="0"/>
  </pivotFields>
  <rowFields count="1">
    <field x="6"/>
  </rowFields>
  <rowItems count="5">
    <i>
      <x/>
    </i>
    <i>
      <x v="1"/>
    </i>
    <i>
      <x v="2"/>
    </i>
    <i>
      <x v="3"/>
    </i>
    <i t="grand">
      <x/>
    </i>
  </rowItems>
  <colItems count="1">
    <i/>
  </colItems>
  <dataFields count="1">
    <dataField name="Count of Product" fld="0" subtotal="count" baseField="0" baseItem="0"/>
  </dataFields>
  <chartFormats count="6">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6" count="1" selected="0">
            <x v="0"/>
          </reference>
        </references>
      </pivotArea>
    </chartFormat>
    <chartFormat chart="3" format="8">
      <pivotArea type="data" outline="0" fieldPosition="0">
        <references count="2">
          <reference field="4294967294" count="1" selected="0">
            <x v="0"/>
          </reference>
          <reference field="6" count="1" selected="0">
            <x v="1"/>
          </reference>
        </references>
      </pivotArea>
    </chartFormat>
    <chartFormat chart="3" format="9">
      <pivotArea type="data" outline="0" fieldPosition="0">
        <references count="2">
          <reference field="4294967294" count="1" selected="0">
            <x v="0"/>
          </reference>
          <reference field="6" count="1" selected="0">
            <x v="2"/>
          </reference>
        </references>
      </pivotArea>
    </chartFormat>
    <chartFormat chart="3" format="10">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AF5F631-7036-48A8-847A-F5E069235E0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12">
    <pivotField dataField="1" showAll="0"/>
    <pivotField numFmtId="2" showAll="0"/>
    <pivotField numFmtId="2" showAll="0"/>
    <pivotField numFmtId="10" showAll="0"/>
    <pivotField showAll="0"/>
    <pivotField showAll="0"/>
    <pivotField showAll="0"/>
    <pivotField axis="axisRow" showAll="0">
      <items count="4">
        <item x="1"/>
        <item x="2"/>
        <item x="0"/>
        <item t="default"/>
      </items>
    </pivotField>
    <pivotField numFmtId="2" showAll="0"/>
    <pivotField showAll="0"/>
    <pivotField showAll="0"/>
    <pivotField showAll="0"/>
  </pivotFields>
  <rowFields count="1">
    <field x="7"/>
  </rowFields>
  <rowItems count="4">
    <i>
      <x/>
    </i>
    <i>
      <x v="1"/>
    </i>
    <i>
      <x v="2"/>
    </i>
    <i t="grand">
      <x/>
    </i>
  </rowItems>
  <colItems count="1">
    <i/>
  </colItems>
  <dataFields count="1">
    <dataField name="Count of Product" fld="0" subtotal="count" baseField="0" baseItem="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7" count="1" selected="0">
            <x v="0"/>
          </reference>
        </references>
      </pivotArea>
    </chartFormat>
    <chartFormat chart="3" format="7">
      <pivotArea type="data" outline="0" fieldPosition="0">
        <references count="2">
          <reference field="4294967294" count="1" selected="0">
            <x v="0"/>
          </reference>
          <reference field="7" count="1" selected="0">
            <x v="1"/>
          </reference>
        </references>
      </pivotArea>
    </chartFormat>
    <chartFormat chart="3" format="8">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36809F0-5F72-4343-8C12-581BE2C3BF8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M18:R23" firstHeaderRow="1" firstDataRow="2" firstDataCol="1"/>
  <pivotFields count="12">
    <pivotField dataField="1" showAll="0"/>
    <pivotField numFmtId="2" showAll="0"/>
    <pivotField numFmtId="2" showAll="0"/>
    <pivotField numFmtId="10" showAll="0">
      <items count="47">
        <item x="44"/>
        <item x="30"/>
        <item x="33"/>
        <item x="38"/>
        <item x="42"/>
        <item x="5"/>
        <item x="41"/>
        <item x="34"/>
        <item x="40"/>
        <item x="21"/>
        <item x="16"/>
        <item x="9"/>
        <item x="43"/>
        <item x="32"/>
        <item x="19"/>
        <item x="6"/>
        <item x="2"/>
        <item x="4"/>
        <item x="26"/>
        <item x="36"/>
        <item x="23"/>
        <item x="22"/>
        <item x="12"/>
        <item x="10"/>
        <item x="18"/>
        <item x="39"/>
        <item x="3"/>
        <item x="0"/>
        <item x="35"/>
        <item x="27"/>
        <item x="28"/>
        <item x="11"/>
        <item x="37"/>
        <item x="8"/>
        <item x="14"/>
        <item x="1"/>
        <item x="25"/>
        <item x="15"/>
        <item x="29"/>
        <item x="13"/>
        <item x="24"/>
        <item x="17"/>
        <item x="20"/>
        <item x="7"/>
        <item x="31"/>
        <item x="45"/>
        <item t="default"/>
      </items>
    </pivotField>
    <pivotField showAll="0"/>
    <pivotField showAll="0">
      <items count="24">
        <item x="22"/>
        <item x="15"/>
        <item x="19"/>
        <item x="20"/>
        <item x="13"/>
        <item x="21"/>
        <item x="17"/>
        <item x="16"/>
        <item x="18"/>
        <item x="14"/>
        <item x="9"/>
        <item x="6"/>
        <item x="5"/>
        <item x="1"/>
        <item x="7"/>
        <item x="12"/>
        <item x="11"/>
        <item x="0"/>
        <item x="2"/>
        <item x="3"/>
        <item x="4"/>
        <item x="8"/>
        <item x="10"/>
        <item t="default"/>
      </items>
    </pivotField>
    <pivotField axis="axisCol" showAll="0">
      <items count="5">
        <item x="0"/>
        <item x="1"/>
        <item x="2"/>
        <item x="3"/>
        <item t="default"/>
      </items>
    </pivotField>
    <pivotField axis="axisRow" showAll="0">
      <items count="4">
        <item x="1"/>
        <item x="2"/>
        <item x="0"/>
        <item t="default"/>
      </items>
    </pivotField>
    <pivotField numFmtId="2" showAll="0"/>
    <pivotField showAll="0"/>
    <pivotField showAll="0"/>
    <pivotField showAll="0"/>
  </pivotFields>
  <rowFields count="1">
    <field x="7"/>
  </rowFields>
  <rowItems count="4">
    <i>
      <x/>
    </i>
    <i>
      <x v="1"/>
    </i>
    <i>
      <x v="2"/>
    </i>
    <i t="grand">
      <x/>
    </i>
  </rowItems>
  <colFields count="1">
    <field x="6"/>
  </colFields>
  <colItems count="5">
    <i>
      <x/>
    </i>
    <i>
      <x v="1"/>
    </i>
    <i>
      <x v="2"/>
    </i>
    <i>
      <x v="3"/>
    </i>
    <i t="grand">
      <x/>
    </i>
  </colItems>
  <dataFields count="1">
    <dataField name="Count of Product" fld="0" subtotal="count" baseField="0" baseItem="0"/>
  </dataFields>
  <chartFormats count="8">
    <chartFormat chart="2" format="0" series="1">
      <pivotArea type="data" outline="0" fieldPosition="0">
        <references count="2">
          <reference field="4294967294" count="1" selected="0">
            <x v="0"/>
          </reference>
          <reference field="6" count="1" selected="0">
            <x v="0"/>
          </reference>
        </references>
      </pivotArea>
    </chartFormat>
    <chartFormat chart="2" format="1" series="1">
      <pivotArea type="data" outline="0" fieldPosition="0">
        <references count="2">
          <reference field="4294967294" count="1" selected="0">
            <x v="0"/>
          </reference>
          <reference field="6" count="1" selected="0">
            <x v="1"/>
          </reference>
        </references>
      </pivotArea>
    </chartFormat>
    <chartFormat chart="2" format="2" series="1">
      <pivotArea type="data" outline="0" fieldPosition="0">
        <references count="2">
          <reference field="4294967294" count="1" selected="0">
            <x v="0"/>
          </reference>
          <reference field="6" count="1" selected="0">
            <x v="2"/>
          </reference>
        </references>
      </pivotArea>
    </chartFormat>
    <chartFormat chart="2" format="3" series="1">
      <pivotArea type="data" outline="0" fieldPosition="0">
        <references count="2">
          <reference field="4294967294" count="1" selected="0">
            <x v="0"/>
          </reference>
          <reference field="6" count="1" selected="0">
            <x v="3"/>
          </reference>
        </references>
      </pivotArea>
    </chartFormat>
    <chartFormat chart="4" format="8" series="1">
      <pivotArea type="data" outline="0" fieldPosition="0">
        <references count="2">
          <reference field="4294967294" count="1" selected="0">
            <x v="0"/>
          </reference>
          <reference field="6" count="1" selected="0">
            <x v="0"/>
          </reference>
        </references>
      </pivotArea>
    </chartFormat>
    <chartFormat chart="4" format="9" series="1">
      <pivotArea type="data" outline="0" fieldPosition="0">
        <references count="2">
          <reference field="4294967294" count="1" selected="0">
            <x v="0"/>
          </reference>
          <reference field="6" count="1" selected="0">
            <x v="1"/>
          </reference>
        </references>
      </pivotArea>
    </chartFormat>
    <chartFormat chart="4" format="10" series="1">
      <pivotArea type="data" outline="0" fieldPosition="0">
        <references count="2">
          <reference field="4294967294" count="1" selected="0">
            <x v="0"/>
          </reference>
          <reference field="6" count="1" selected="0">
            <x v="2"/>
          </reference>
        </references>
      </pivotArea>
    </chartFormat>
    <chartFormat chart="4"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686BD01F-96D1-4149-863D-D0B064D43138}" sourceName="Discount category">
  <pivotTables>
    <pivotTable tabId="5" name="PivotTable1"/>
    <pivotTable tabId="5" name="PivotTable7"/>
  </pivotTables>
  <data>
    <tabular pivotCacheId="601624930">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0C57700B-47C8-439B-9B8B-48420CBB7934}" sourceName="Rating category">
  <pivotTables>
    <pivotTable tabId="5" name="PivotTable2"/>
    <pivotTable tabId="5" name="PivotTable7"/>
  </pivotTables>
  <data>
    <tabular pivotCacheId="601624930">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category" xr10:uid="{2193C073-1563-4292-A86C-46DDC924B25E}" cache="Slicer_Discount_category" caption="Discount category" rowHeight="251883"/>
  <slicer name="Rating category" xr10:uid="{1A547504-C006-45E9-92D6-A65F0817FDBC}" cache="Slicer_Rating_category" caption="Rating category"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E26CC36-6555-4576-9F07-B004E254D922}" name="tblProducts" displayName="tblProducts" ref="A1:L116" totalsRowShown="0" headerRowDxfId="14">
  <autoFilter ref="A1:L116" xr:uid="{782033EC-E231-439A-84C7-01133AFD673D}"/>
  <tableColumns count="12">
    <tableColumn id="1" xr3:uid="{4B7C2A41-0260-4B42-A045-BA8BF5580F8C}" name="Product"/>
    <tableColumn id="2" xr3:uid="{0D63D84E-EFD0-435D-B21D-65CA24AB3EB6}" name="Current price (Ksh)" dataDxfId="13"/>
    <tableColumn id="3" xr3:uid="{60CAA794-B103-40F5-B092-3A9D07D38424}" name="old price (Ksh)" dataDxfId="12"/>
    <tableColumn id="4" xr3:uid="{FE274AE1-6517-47B9-B5FC-ED6187B41431}" name="Discount" dataDxfId="11"/>
    <tableColumn id="5" xr3:uid="{654DD475-0D04-46AE-82CE-4D6A423465F9}" name="Review" dataDxfId="10"/>
    <tableColumn id="6" xr3:uid="{A06440C5-87BF-4E1C-9B92-BB14C9E42DDB}" name="Rating"/>
    <tableColumn id="7" xr3:uid="{DB74998D-D4F5-4C88-BF09-D8BE5CF45DE2}" name="Rating category" dataDxfId="9">
      <calculatedColumnFormula>IF(tblProducts[[#This Row],[Rating]]="","Missing",IF(tblProducts[[#This Row],[Rating]]&lt;3,"Poor",IF(tblProducts[[#This Row],[Rating]]&lt;=4.5,"Average","Excellent")))</calculatedColumnFormula>
    </tableColumn>
    <tableColumn id="8" xr3:uid="{916D048F-3D6D-4E71-9B00-88A099D30E29}" name="Discount category" dataDxfId="8">
      <calculatedColumnFormula>IF(tblProducts[[#This Row],[Discount]]="","Missing",IF(tblProducts[[#This Row],[Discount]]&lt;20%,"Low Discount",IF(tblProducts[[#This Row],[Discount]]&lt;=40%,"Medium Discount","High Discount")))</calculatedColumnFormula>
    </tableColumn>
    <tableColumn id="9" xr3:uid="{ADA8DD37-C46A-4192-9498-28E4DC800211}" name="Discount  Amount" dataDxfId="7">
      <calculatedColumnFormula>tblProducts[[#This Row],[old price (Ksh)]]-tblProducts[[#This Row],[Current price (Ksh)]]</calculatedColumnFormula>
    </tableColumn>
    <tableColumn id="10" xr3:uid="{5FFF75D7-EB95-4825-BABB-5C1CFCED0514}" name="Rating Rank Key" dataDxfId="6">
      <calculatedColumnFormula>IF(tblProducts[[#This Row],[Rating]]="","",tblProducts[[#This Row],[Rating]]+tblProducts[[#This Row],[Review]]/1000000+ROW()/100000000)</calculatedColumnFormula>
    </tableColumn>
    <tableColumn id="11" xr3:uid="{6E3AACA8-4E7B-4B82-B8C5-8A656470005A}" name="Review Rank key" dataDxfId="5">
      <calculatedColumnFormula>IF(tblProducts[[#This Row],[Review]]="","",tblProducts[[#This Row],[Review]]+tblProducts[[#This Row],[Rating]]/1000)</calculatedColumnFormula>
    </tableColumn>
    <tableColumn id="12" xr3:uid="{D7771B23-F1B8-4614-83E3-FAE567ED5419}" name="Discount Rank Key" dataDxfId="4">
      <calculatedColumnFormula>IF(tblProducts[[#This Row],[Discount]]="","",tblProducts[[#This Row],[Discount]]+tblProducts[[#This Row],[Review]]/1000000)</calculatedColumnFormula>
    </tableColumn>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3166065-B698-47A2-AB3B-32F2A47D3315}" name="Table2" displayName="Table2" ref="A1:B7" totalsRowShown="0" headerRowDxfId="3">
  <autoFilter ref="A1:B7" xr:uid="{F3166065-B698-47A2-AB3B-32F2A47D3315}"/>
  <tableColumns count="2">
    <tableColumn id="1" xr3:uid="{C8DC91A6-CBF2-4C2C-8EE8-116742E99C42}" name="KEY PERFORMANCE INDICATORS"/>
    <tableColumn id="2" xr3:uid="{8046D1FA-A703-4114-90CB-70A339F09F51}" name="Value"/>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656F43-B55C-48B3-B790-77A5BC923F53}" name="Table3" displayName="Table3" ref="A9:B12" totalsRowShown="0">
  <autoFilter ref="A9:B12" xr:uid="{5C656F43-B55C-48B3-B790-77A5BC923F53}"/>
  <tableColumns count="2">
    <tableColumn id="1" xr3:uid="{5D306749-0998-4012-B06B-2E8387174D78}" name="Correlations"/>
    <tableColumn id="2" xr3:uid="{50430965-B306-4827-B0E0-115EE53A0AFF}" name="Value"/>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CD0BA7-ADEE-4DFB-B0F6-B04A50CE18B7}" name="Table5" displayName="Table5" ref="A15:D25" totalsRowShown="0">
  <autoFilter ref="A15:D25" xr:uid="{D4CD0BA7-ADEE-4DFB-B0F6-B04A50CE18B7}"/>
  <tableColumns count="4">
    <tableColumn id="1" xr3:uid="{1E057008-8D4D-4DD7-B7B5-934AC95D3D25}" name="Rank"/>
    <tableColumn id="2" xr3:uid="{05260D44-FF58-443F-9789-13314851833C}" name="Product">
      <calculatedColumnFormula>INDEX(tblProducts[Product],MATCH(C16,tblProducts[Rating Rank Key],0))</calculatedColumnFormula>
    </tableColumn>
    <tableColumn id="3" xr3:uid="{439D5BB9-0A77-470F-A10A-B19326D26150}" name="Rating">
      <calculatedColumnFormula>LARGE(tblProducts[Rating Rank Key],A16)</calculatedColumnFormula>
    </tableColumn>
    <tableColumn id="4" xr3:uid="{3A70012E-6E4D-4332-8FD5-50F4D968A4A4}" name="Real Rating">
      <calculatedColumnFormula>INDEX(tblProducts[Rating],MATCH(C16,tblProducts[Rating Rank Key],0))</calculatedColumnFormula>
    </tableColumn>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119EB2-DF06-4903-B0FD-390B999F583F}" name="Table6" displayName="Table6" ref="A29:D39" totalsRowShown="0">
  <autoFilter ref="A29:D39" xr:uid="{C5119EB2-DF06-4903-B0FD-390B999F583F}"/>
  <tableColumns count="4">
    <tableColumn id="1" xr3:uid="{255B3314-216D-4445-BF56-6F646BF1997B}" name="Rank"/>
    <tableColumn id="2" xr3:uid="{D568A938-BDCD-4CBD-8977-650B06D615A4}" name="Poduct">
      <calculatedColumnFormula>INDEX(tblProducts[Product],MATCH(C30,tblProducts[Review Rank key],0))</calculatedColumnFormula>
    </tableColumn>
    <tableColumn id="3" xr3:uid="{62F9980E-2AB5-4D26-BEA8-08069C96A06A}" name="Sort key">
      <calculatedColumnFormula>LARGE(tblProducts[Review Rank key],A30)</calculatedColumnFormula>
    </tableColumn>
    <tableColumn id="4" xr3:uid="{CC7AA77C-5D68-420D-AF98-A3F689346C94}" name="Review count">
      <calculatedColumnFormula>INDEX(tblProducts[Review],MATCH(C30,tblProducts[Review Rank key],0))</calculatedColumnFormula>
    </tableColumn>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64C0F3-801F-4B98-95AD-726440272D74}" name="Table4" displayName="Table4" ref="A42:D53" totalsRowShown="0">
  <autoFilter ref="A42:D53" xr:uid="{7E64C0F3-801F-4B98-95AD-726440272D74}"/>
  <tableColumns count="4">
    <tableColumn id="1" xr3:uid="{F7C4C3D0-97FE-4B84-93A1-325059422FFA}" name="Top 10 Discount"/>
    <tableColumn id="2" xr3:uid="{E7235C89-F8AD-4E42-88B4-59916FBA62A8}" name="Column1">
      <calculatedColumnFormula>INDEX(tblProducts[Product],MATCH(C43,tblProducts[Discount Rank Key],0))</calculatedColumnFormula>
    </tableColumn>
    <tableColumn id="3" xr3:uid="{5CBC9740-6197-474F-AA0A-7C978168633B}" name="Column2">
      <calculatedColumnFormula>LARGE(tblProducts[Discount Rank Key],A43)</calculatedColumnFormula>
    </tableColumn>
    <tableColumn id="4" xr3:uid="{44A3302D-17E3-45D7-894C-474A27A21851}" name="Column3">
      <calculatedColumnFormula>INDEX(tblProducts[Discount],MATCH(C43,tblProducts[Discount Rank Key],0))</calculatedColumnFormula>
    </tableColumn>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0504747-FCCD-485D-9214-55C2EB43627D}" name="Table10" displayName="Table10" ref="A2:C8" totalsRowShown="0">
  <autoFilter ref="A2:C8" xr:uid="{50504747-FCCD-485D-9214-55C2EB43627D}"/>
  <tableColumns count="3">
    <tableColumn id="1" xr3:uid="{6CDE61B9-83E4-4F45-A64C-461FDEDBD6B8}" name="Field Name"/>
    <tableColumn id="2" xr3:uid="{A7F23C35-45ED-45F8-BA83-76D53E8FB1EE}" name="Meaning"/>
    <tableColumn id="3" xr3:uid="{525E18F6-D983-44CB-BBE4-452816887457}" name="Cleaned Data Type"/>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54F7684-1667-4BD6-BDB9-700A36DBA359}" name="Table11" displayName="Table11" ref="A12:D20" totalsRowShown="0">
  <autoFilter ref="A12:D20" xr:uid="{954F7684-1667-4BD6-BDB9-700A36DBA359}"/>
  <tableColumns count="4">
    <tableColumn id="1" xr3:uid="{40627549-814F-49AD-9F8C-1B1B53AF2554}" name="Issue"/>
    <tableColumn id="2" xr3:uid="{2FCCAABB-5E0A-4D6C-8FC8-D6BC8382C895}" name="Rows Affected" dataDxfId="2"/>
    <tableColumn id="3" xr3:uid="{825885E7-8561-4A20-B49A-ABA02555B3CE}" name="Decision" dataDxfId="1"/>
    <tableColumn id="4" xr3:uid="{A389292C-8041-4E04-BFE8-BD03E4EE9751}" name="Reason"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5" Type="http://schemas.openxmlformats.org/officeDocument/2006/relationships/table" Target="../tables/table6.xml"/><Relationship Id="rId4" Type="http://schemas.openxmlformats.org/officeDocument/2006/relationships/table" Target="../tables/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FD982-D91D-4289-A15F-219F08B4695D}">
  <dimension ref="A1:F116"/>
  <sheetViews>
    <sheetView topLeftCell="A93" workbookViewId="0">
      <selection activeCell="H106" sqref="H106"/>
    </sheetView>
  </sheetViews>
  <sheetFormatPr defaultRowHeight="14.5" x14ac:dyDescent="0.35"/>
  <cols>
    <col min="1" max="1" width="86.1796875" bestFit="1" customWidth="1"/>
  </cols>
  <sheetData>
    <row r="1" spans="1:6" x14ac:dyDescent="0.35">
      <c r="A1" t="s">
        <v>0</v>
      </c>
      <c r="B1" t="s">
        <v>1</v>
      </c>
      <c r="C1" t="s">
        <v>2</v>
      </c>
      <c r="D1" t="s">
        <v>3</v>
      </c>
      <c r="E1" t="s">
        <v>4</v>
      </c>
      <c r="F1" t="s">
        <v>5</v>
      </c>
    </row>
    <row r="2" spans="1:6" x14ac:dyDescent="0.35">
      <c r="A2" t="s">
        <v>6</v>
      </c>
      <c r="B2" t="s">
        <v>7</v>
      </c>
      <c r="C2" t="s">
        <v>8</v>
      </c>
      <c r="D2" s="1">
        <v>0.38</v>
      </c>
      <c r="E2">
        <v>-2</v>
      </c>
      <c r="F2" t="s">
        <v>9</v>
      </c>
    </row>
    <row r="3" spans="1:6" x14ac:dyDescent="0.35">
      <c r="A3" t="s">
        <v>10</v>
      </c>
      <c r="B3" t="s">
        <v>11</v>
      </c>
      <c r="C3" t="s">
        <v>12</v>
      </c>
      <c r="D3" s="1">
        <v>0.47</v>
      </c>
      <c r="E3">
        <v>-14</v>
      </c>
      <c r="F3" t="s">
        <v>13</v>
      </c>
    </row>
    <row r="4" spans="1:6" x14ac:dyDescent="0.35">
      <c r="A4" t="s">
        <v>14</v>
      </c>
      <c r="B4" t="s">
        <v>15</v>
      </c>
      <c r="C4" t="s">
        <v>16</v>
      </c>
      <c r="D4" s="1">
        <v>0.25</v>
      </c>
      <c r="E4">
        <v>-24</v>
      </c>
      <c r="F4" t="s">
        <v>17</v>
      </c>
    </row>
    <row r="5" spans="1:6" x14ac:dyDescent="0.35">
      <c r="A5" t="s">
        <v>18</v>
      </c>
      <c r="B5" t="s">
        <v>19</v>
      </c>
      <c r="C5" t="s">
        <v>20</v>
      </c>
      <c r="D5" s="1">
        <v>0.37</v>
      </c>
      <c r="E5">
        <v>-7</v>
      </c>
      <c r="F5" t="s">
        <v>21</v>
      </c>
    </row>
    <row r="6" spans="1:6" x14ac:dyDescent="0.35">
      <c r="A6" t="s">
        <v>22</v>
      </c>
      <c r="B6" t="s">
        <v>23</v>
      </c>
      <c r="C6" t="s">
        <v>24</v>
      </c>
      <c r="D6" s="1">
        <v>0.26</v>
      </c>
      <c r="E6">
        <v>-5</v>
      </c>
      <c r="F6" t="s">
        <v>25</v>
      </c>
    </row>
    <row r="7" spans="1:6" x14ac:dyDescent="0.35">
      <c r="A7" t="s">
        <v>26</v>
      </c>
      <c r="B7" t="s">
        <v>27</v>
      </c>
      <c r="C7" t="s">
        <v>28</v>
      </c>
      <c r="D7" s="1">
        <v>0.09</v>
      </c>
      <c r="E7">
        <v>-15</v>
      </c>
      <c r="F7" t="s">
        <v>29</v>
      </c>
    </row>
    <row r="8" spans="1:6" x14ac:dyDescent="0.35">
      <c r="A8" t="s">
        <v>30</v>
      </c>
      <c r="B8" t="s">
        <v>31</v>
      </c>
      <c r="C8" t="s">
        <v>32</v>
      </c>
      <c r="D8" s="1">
        <v>0.24</v>
      </c>
      <c r="E8">
        <v>-55</v>
      </c>
      <c r="F8" t="s">
        <v>17</v>
      </c>
    </row>
    <row r="9" spans="1:6" x14ac:dyDescent="0.35">
      <c r="A9" t="s">
        <v>33</v>
      </c>
      <c r="B9" t="s">
        <v>34</v>
      </c>
      <c r="C9" t="s">
        <v>19</v>
      </c>
      <c r="D9" s="1">
        <v>0.37</v>
      </c>
      <c r="E9">
        <v>-2</v>
      </c>
      <c r="F9" t="s">
        <v>29</v>
      </c>
    </row>
    <row r="10" spans="1:6" x14ac:dyDescent="0.35">
      <c r="A10" t="s">
        <v>35</v>
      </c>
      <c r="B10" t="s">
        <v>36</v>
      </c>
      <c r="C10" t="s">
        <v>37</v>
      </c>
      <c r="D10" s="1">
        <v>0.55000000000000004</v>
      </c>
      <c r="E10">
        <v>-5</v>
      </c>
      <c r="F10" t="s">
        <v>25</v>
      </c>
    </row>
    <row r="11" spans="1:6" x14ac:dyDescent="0.35">
      <c r="A11" t="s">
        <v>38</v>
      </c>
      <c r="B11" t="s">
        <v>39</v>
      </c>
      <c r="C11" t="s">
        <v>40</v>
      </c>
      <c r="D11" s="1">
        <v>0.45</v>
      </c>
      <c r="E11">
        <v>-5</v>
      </c>
      <c r="F11" t="s">
        <v>41</v>
      </c>
    </row>
    <row r="12" spans="1:6" x14ac:dyDescent="0.35">
      <c r="A12" t="s">
        <v>42</v>
      </c>
      <c r="B12" t="s">
        <v>43</v>
      </c>
      <c r="C12" t="s">
        <v>12</v>
      </c>
      <c r="D12" s="1">
        <v>0.2</v>
      </c>
      <c r="E12">
        <v>-12</v>
      </c>
      <c r="F12" t="s">
        <v>13</v>
      </c>
    </row>
    <row r="13" spans="1:6" x14ac:dyDescent="0.35">
      <c r="A13" t="s">
        <v>44</v>
      </c>
      <c r="B13" t="s">
        <v>45</v>
      </c>
      <c r="C13" t="s">
        <v>46</v>
      </c>
      <c r="D13" s="1">
        <v>0.34</v>
      </c>
      <c r="E13">
        <v>-39</v>
      </c>
      <c r="F13" t="s">
        <v>21</v>
      </c>
    </row>
    <row r="14" spans="1:6" x14ac:dyDescent="0.35">
      <c r="A14" t="s">
        <v>47</v>
      </c>
      <c r="B14" t="s">
        <v>48</v>
      </c>
      <c r="C14" t="s">
        <v>49</v>
      </c>
      <c r="D14" s="1">
        <v>0.47</v>
      </c>
      <c r="E14">
        <v>-12</v>
      </c>
      <c r="F14" t="s">
        <v>25</v>
      </c>
    </row>
    <row r="15" spans="1:6" x14ac:dyDescent="0.35">
      <c r="A15" t="s">
        <v>50</v>
      </c>
      <c r="B15" t="s">
        <v>51</v>
      </c>
      <c r="C15" t="s">
        <v>52</v>
      </c>
      <c r="D15" s="1">
        <v>0.42</v>
      </c>
      <c r="E15">
        <v>-6</v>
      </c>
      <c r="F15" t="s">
        <v>9</v>
      </c>
    </row>
    <row r="16" spans="1:6" x14ac:dyDescent="0.35">
      <c r="A16" t="s">
        <v>53</v>
      </c>
      <c r="B16" t="s">
        <v>54</v>
      </c>
      <c r="C16" t="s">
        <v>20</v>
      </c>
      <c r="D16" s="1">
        <v>0.33</v>
      </c>
      <c r="E16">
        <v>-9</v>
      </c>
      <c r="F16" t="s">
        <v>55</v>
      </c>
    </row>
    <row r="17" spans="1:6" x14ac:dyDescent="0.35">
      <c r="A17" t="s">
        <v>56</v>
      </c>
      <c r="B17" t="s">
        <v>57</v>
      </c>
      <c r="C17" t="s">
        <v>58</v>
      </c>
      <c r="D17" s="1">
        <v>0.51</v>
      </c>
      <c r="E17">
        <v>-2</v>
      </c>
      <c r="F17" t="s">
        <v>59</v>
      </c>
    </row>
    <row r="18" spans="1:6" x14ac:dyDescent="0.35">
      <c r="A18" t="s">
        <v>60</v>
      </c>
      <c r="B18" t="s">
        <v>61</v>
      </c>
      <c r="C18" t="s">
        <v>62</v>
      </c>
      <c r="D18" s="1">
        <v>0.46</v>
      </c>
      <c r="E18">
        <v>-2</v>
      </c>
      <c r="F18" t="s">
        <v>59</v>
      </c>
    </row>
    <row r="19" spans="1:6" x14ac:dyDescent="0.35">
      <c r="A19" t="s">
        <v>63</v>
      </c>
      <c r="B19" t="s">
        <v>64</v>
      </c>
      <c r="C19" t="s">
        <v>65</v>
      </c>
      <c r="D19" s="1">
        <v>0.49</v>
      </c>
      <c r="E19">
        <v>-3</v>
      </c>
      <c r="F19" t="s">
        <v>59</v>
      </c>
    </row>
    <row r="20" spans="1:6" x14ac:dyDescent="0.35">
      <c r="A20" t="s">
        <v>66</v>
      </c>
      <c r="B20" t="s">
        <v>27</v>
      </c>
      <c r="C20" t="s">
        <v>67</v>
      </c>
      <c r="D20" s="1">
        <v>0.19</v>
      </c>
      <c r="E20">
        <v>-5</v>
      </c>
      <c r="F20" t="s">
        <v>17</v>
      </c>
    </row>
    <row r="21" spans="1:6" x14ac:dyDescent="0.35">
      <c r="A21" t="s">
        <v>68</v>
      </c>
      <c r="B21" t="s">
        <v>69</v>
      </c>
      <c r="C21" t="s">
        <v>70</v>
      </c>
      <c r="D21" s="1">
        <v>0.49</v>
      </c>
      <c r="E21">
        <v>-44</v>
      </c>
      <c r="F21" t="s">
        <v>17</v>
      </c>
    </row>
    <row r="22" spans="1:6" x14ac:dyDescent="0.35">
      <c r="A22" t="s">
        <v>71</v>
      </c>
      <c r="B22" t="s">
        <v>72</v>
      </c>
      <c r="C22" t="s">
        <v>73</v>
      </c>
      <c r="D22" s="1">
        <v>0.53</v>
      </c>
      <c r="E22">
        <v>-13</v>
      </c>
      <c r="F22" t="s">
        <v>74</v>
      </c>
    </row>
    <row r="23" spans="1:6" x14ac:dyDescent="0.35">
      <c r="A23" t="s">
        <v>75</v>
      </c>
      <c r="B23" t="s">
        <v>76</v>
      </c>
      <c r="C23" t="s">
        <v>77</v>
      </c>
      <c r="D23" s="1">
        <v>0.42</v>
      </c>
    </row>
    <row r="24" spans="1:6" x14ac:dyDescent="0.35">
      <c r="A24" t="s">
        <v>78</v>
      </c>
      <c r="B24" t="s">
        <v>79</v>
      </c>
      <c r="C24" t="s">
        <v>80</v>
      </c>
      <c r="D24" s="1">
        <v>0.35</v>
      </c>
      <c r="E24">
        <v>-6</v>
      </c>
      <c r="F24" t="s">
        <v>29</v>
      </c>
    </row>
    <row r="25" spans="1:6" x14ac:dyDescent="0.35">
      <c r="A25" t="s">
        <v>81</v>
      </c>
      <c r="B25" t="s">
        <v>82</v>
      </c>
      <c r="C25" t="s">
        <v>83</v>
      </c>
      <c r="D25" s="1">
        <v>0.23</v>
      </c>
      <c r="E25">
        <v>-14</v>
      </c>
      <c r="F25" t="s">
        <v>84</v>
      </c>
    </row>
    <row r="26" spans="1:6" x14ac:dyDescent="0.35">
      <c r="A26" t="s">
        <v>85</v>
      </c>
      <c r="B26" t="s">
        <v>86</v>
      </c>
      <c r="C26" t="s">
        <v>87</v>
      </c>
      <c r="D26" s="1">
        <v>0.54</v>
      </c>
      <c r="E26">
        <v>-7</v>
      </c>
      <c r="F26" t="s">
        <v>88</v>
      </c>
    </row>
    <row r="27" spans="1:6" x14ac:dyDescent="0.35">
      <c r="A27" t="s">
        <v>89</v>
      </c>
      <c r="B27" t="s">
        <v>90</v>
      </c>
      <c r="C27" t="s">
        <v>91</v>
      </c>
      <c r="D27" s="1">
        <v>0.35</v>
      </c>
      <c r="E27">
        <v>-49</v>
      </c>
      <c r="F27" t="s">
        <v>17</v>
      </c>
    </row>
    <row r="28" spans="1:6" x14ac:dyDescent="0.35">
      <c r="A28" t="s">
        <v>92</v>
      </c>
      <c r="B28" t="s">
        <v>93</v>
      </c>
      <c r="C28" t="s">
        <v>94</v>
      </c>
      <c r="D28" s="1">
        <v>0.18</v>
      </c>
      <c r="E28">
        <v>-12</v>
      </c>
      <c r="F28" t="s">
        <v>41</v>
      </c>
    </row>
    <row r="29" spans="1:6" x14ac:dyDescent="0.35">
      <c r="A29" t="s">
        <v>95</v>
      </c>
      <c r="B29" t="s">
        <v>80</v>
      </c>
      <c r="C29" t="s">
        <v>96</v>
      </c>
      <c r="D29" s="1">
        <v>0.32</v>
      </c>
      <c r="E29">
        <v>-13</v>
      </c>
      <c r="F29" t="s">
        <v>41</v>
      </c>
    </row>
    <row r="30" spans="1:6" x14ac:dyDescent="0.35">
      <c r="A30" t="s">
        <v>97</v>
      </c>
      <c r="B30" t="s">
        <v>98</v>
      </c>
      <c r="C30" t="s">
        <v>20</v>
      </c>
      <c r="D30" s="1">
        <v>0.3</v>
      </c>
      <c r="E30">
        <v>-20</v>
      </c>
      <c r="F30" t="s">
        <v>13</v>
      </c>
    </row>
    <row r="31" spans="1:6" x14ac:dyDescent="0.35">
      <c r="A31" t="s">
        <v>99</v>
      </c>
      <c r="B31" t="s">
        <v>100</v>
      </c>
      <c r="C31" t="s">
        <v>101</v>
      </c>
      <c r="D31" s="1">
        <v>0.46</v>
      </c>
    </row>
    <row r="32" spans="1:6" x14ac:dyDescent="0.35">
      <c r="A32" t="s">
        <v>102</v>
      </c>
      <c r="B32" t="s">
        <v>103</v>
      </c>
      <c r="C32" t="s">
        <v>104</v>
      </c>
      <c r="D32" s="1">
        <v>0.52</v>
      </c>
      <c r="E32">
        <v>-9</v>
      </c>
      <c r="F32" t="s">
        <v>88</v>
      </c>
    </row>
    <row r="33" spans="1:6" x14ac:dyDescent="0.35">
      <c r="A33" t="s">
        <v>105</v>
      </c>
      <c r="B33" t="s">
        <v>106</v>
      </c>
      <c r="C33" t="s">
        <v>107</v>
      </c>
      <c r="D33" s="1">
        <v>0.34</v>
      </c>
      <c r="E33">
        <v>-12</v>
      </c>
      <c r="F33" t="s">
        <v>21</v>
      </c>
    </row>
    <row r="34" spans="1:6" x14ac:dyDescent="0.35">
      <c r="A34" t="s">
        <v>108</v>
      </c>
      <c r="B34" t="s">
        <v>109</v>
      </c>
      <c r="C34" t="s">
        <v>110</v>
      </c>
      <c r="D34" s="1">
        <v>0.48</v>
      </c>
      <c r="E34">
        <v>-9</v>
      </c>
      <c r="F34" t="s">
        <v>88</v>
      </c>
    </row>
    <row r="35" spans="1:6" x14ac:dyDescent="0.35">
      <c r="A35" t="s">
        <v>111</v>
      </c>
      <c r="B35" t="s">
        <v>112</v>
      </c>
      <c r="C35" t="s">
        <v>113</v>
      </c>
      <c r="D35" s="1">
        <v>0.27</v>
      </c>
      <c r="E35">
        <v>-20</v>
      </c>
      <c r="F35" t="s">
        <v>21</v>
      </c>
    </row>
    <row r="36" spans="1:6" x14ac:dyDescent="0.35">
      <c r="A36" t="s">
        <v>114</v>
      </c>
      <c r="B36" t="s">
        <v>115</v>
      </c>
      <c r="C36" t="s">
        <v>116</v>
      </c>
      <c r="D36" s="1">
        <v>0.27</v>
      </c>
      <c r="E36">
        <v>-32</v>
      </c>
      <c r="F36" t="s">
        <v>9</v>
      </c>
    </row>
    <row r="37" spans="1:6" x14ac:dyDescent="0.35">
      <c r="A37" t="s">
        <v>117</v>
      </c>
      <c r="B37" t="s">
        <v>118</v>
      </c>
      <c r="C37" t="s">
        <v>119</v>
      </c>
      <c r="D37" s="1">
        <v>0.4</v>
      </c>
      <c r="E37">
        <v>-1</v>
      </c>
      <c r="F37" t="s">
        <v>59</v>
      </c>
    </row>
    <row r="38" spans="1:6" x14ac:dyDescent="0.35">
      <c r="A38" t="s">
        <v>120</v>
      </c>
      <c r="B38" t="s">
        <v>121</v>
      </c>
      <c r="C38" t="s">
        <v>62</v>
      </c>
      <c r="D38" s="1">
        <v>0.53</v>
      </c>
      <c r="E38">
        <v>-2</v>
      </c>
      <c r="F38" t="s">
        <v>59</v>
      </c>
    </row>
    <row r="39" spans="1:6" x14ac:dyDescent="0.35">
      <c r="A39" t="s">
        <v>122</v>
      </c>
      <c r="B39" t="s">
        <v>123</v>
      </c>
      <c r="C39" t="s">
        <v>124</v>
      </c>
      <c r="D39" s="1">
        <v>0.41</v>
      </c>
      <c r="E39">
        <v>-36</v>
      </c>
      <c r="F39" t="s">
        <v>88</v>
      </c>
    </row>
    <row r="40" spans="1:6" x14ac:dyDescent="0.35">
      <c r="A40" t="s">
        <v>125</v>
      </c>
      <c r="B40" t="s">
        <v>126</v>
      </c>
      <c r="C40" t="s">
        <v>127</v>
      </c>
      <c r="D40" s="1">
        <v>0.38</v>
      </c>
      <c r="E40">
        <v>-2</v>
      </c>
      <c r="F40" t="s">
        <v>9</v>
      </c>
    </row>
    <row r="41" spans="1:6" x14ac:dyDescent="0.35">
      <c r="A41" t="s">
        <v>128</v>
      </c>
      <c r="B41" t="s">
        <v>129</v>
      </c>
      <c r="C41" t="s">
        <v>130</v>
      </c>
      <c r="D41" s="1">
        <v>0.38</v>
      </c>
    </row>
    <row r="42" spans="1:6" x14ac:dyDescent="0.35">
      <c r="A42" t="s">
        <v>131</v>
      </c>
      <c r="B42" t="s">
        <v>132</v>
      </c>
      <c r="C42" t="s">
        <v>133</v>
      </c>
      <c r="D42" s="1">
        <v>0.49</v>
      </c>
    </row>
    <row r="43" spans="1:6" x14ac:dyDescent="0.35">
      <c r="A43" t="s">
        <v>134</v>
      </c>
      <c r="B43" t="s">
        <v>135</v>
      </c>
      <c r="C43" t="s">
        <v>136</v>
      </c>
      <c r="D43" s="1">
        <v>0.5</v>
      </c>
    </row>
    <row r="44" spans="1:6" x14ac:dyDescent="0.35">
      <c r="A44" t="s">
        <v>137</v>
      </c>
      <c r="B44" t="s">
        <v>138</v>
      </c>
      <c r="C44" t="s">
        <v>139</v>
      </c>
      <c r="D44" s="1">
        <v>0.42</v>
      </c>
    </row>
    <row r="45" spans="1:6" x14ac:dyDescent="0.35">
      <c r="A45" t="s">
        <v>137</v>
      </c>
      <c r="B45" t="s">
        <v>138</v>
      </c>
      <c r="C45" t="s">
        <v>139</v>
      </c>
      <c r="D45" s="1">
        <v>0.42</v>
      </c>
    </row>
    <row r="46" spans="1:6" x14ac:dyDescent="0.35">
      <c r="A46" t="s">
        <v>140</v>
      </c>
      <c r="B46" t="s">
        <v>141</v>
      </c>
      <c r="C46" t="s">
        <v>142</v>
      </c>
      <c r="D46" s="1">
        <v>0.02</v>
      </c>
    </row>
    <row r="47" spans="1:6" x14ac:dyDescent="0.35">
      <c r="A47" t="s">
        <v>143</v>
      </c>
      <c r="B47" t="s">
        <v>12</v>
      </c>
      <c r="C47" t="s">
        <v>144</v>
      </c>
      <c r="D47" s="1">
        <v>0.5</v>
      </c>
    </row>
    <row r="48" spans="1:6" x14ac:dyDescent="0.35">
      <c r="A48" t="s">
        <v>145</v>
      </c>
      <c r="B48" t="s">
        <v>146</v>
      </c>
      <c r="C48" t="s">
        <v>147</v>
      </c>
      <c r="D48" s="1">
        <v>0.33</v>
      </c>
    </row>
    <row r="49" spans="1:6" x14ac:dyDescent="0.35">
      <c r="A49" t="s">
        <v>148</v>
      </c>
      <c r="B49" t="s">
        <v>149</v>
      </c>
      <c r="C49" t="s">
        <v>150</v>
      </c>
      <c r="D49" s="1">
        <v>0.49</v>
      </c>
    </row>
    <row r="50" spans="1:6" x14ac:dyDescent="0.35">
      <c r="A50" t="s">
        <v>151</v>
      </c>
      <c r="B50" t="s">
        <v>152</v>
      </c>
      <c r="C50" t="s">
        <v>153</v>
      </c>
      <c r="D50" s="1">
        <v>0.38</v>
      </c>
    </row>
    <row r="51" spans="1:6" x14ac:dyDescent="0.35">
      <c r="A51" t="s">
        <v>154</v>
      </c>
      <c r="B51" t="s">
        <v>155</v>
      </c>
      <c r="C51" t="s">
        <v>156</v>
      </c>
      <c r="D51" s="1">
        <v>0.61</v>
      </c>
    </row>
    <row r="52" spans="1:6" x14ac:dyDescent="0.35">
      <c r="A52" t="s">
        <v>157</v>
      </c>
      <c r="B52" t="s">
        <v>158</v>
      </c>
      <c r="C52" t="s">
        <v>159</v>
      </c>
      <c r="D52" s="1">
        <v>0.5</v>
      </c>
    </row>
    <row r="53" spans="1:6" x14ac:dyDescent="0.35">
      <c r="A53" t="s">
        <v>160</v>
      </c>
      <c r="B53" t="s">
        <v>161</v>
      </c>
      <c r="C53" t="s">
        <v>162</v>
      </c>
      <c r="D53" s="1">
        <v>0.02</v>
      </c>
    </row>
    <row r="54" spans="1:6" x14ac:dyDescent="0.35">
      <c r="A54" t="s">
        <v>163</v>
      </c>
      <c r="B54" t="s">
        <v>158</v>
      </c>
      <c r="C54" t="s">
        <v>164</v>
      </c>
      <c r="D54" s="1">
        <v>0.22</v>
      </c>
    </row>
    <row r="55" spans="1:6" x14ac:dyDescent="0.35">
      <c r="A55" t="s">
        <v>165</v>
      </c>
      <c r="B55" t="s">
        <v>166</v>
      </c>
      <c r="C55" t="s">
        <v>167</v>
      </c>
      <c r="D55" s="1">
        <v>0.03</v>
      </c>
    </row>
    <row r="56" spans="1:6" x14ac:dyDescent="0.35">
      <c r="A56" t="s">
        <v>168</v>
      </c>
      <c r="B56" t="s">
        <v>43</v>
      </c>
      <c r="C56" t="s">
        <v>169</v>
      </c>
      <c r="D56" s="1">
        <v>0.41</v>
      </c>
    </row>
    <row r="57" spans="1:6" x14ac:dyDescent="0.35">
      <c r="A57" t="s">
        <v>170</v>
      </c>
      <c r="B57" t="s">
        <v>171</v>
      </c>
      <c r="C57" t="s">
        <v>172</v>
      </c>
      <c r="D57" s="1">
        <v>0.45</v>
      </c>
    </row>
    <row r="58" spans="1:6" x14ac:dyDescent="0.35">
      <c r="A58" t="s">
        <v>173</v>
      </c>
      <c r="B58" t="s">
        <v>174</v>
      </c>
      <c r="C58" t="s">
        <v>169</v>
      </c>
      <c r="D58" s="1">
        <v>0.48</v>
      </c>
    </row>
    <row r="59" spans="1:6" x14ac:dyDescent="0.35">
      <c r="A59" t="s">
        <v>175</v>
      </c>
      <c r="B59" t="s">
        <v>43</v>
      </c>
      <c r="C59" t="s">
        <v>176</v>
      </c>
      <c r="D59" s="1">
        <v>0.49</v>
      </c>
    </row>
    <row r="60" spans="1:6" x14ac:dyDescent="0.35">
      <c r="A60" t="s">
        <v>177</v>
      </c>
      <c r="B60" t="s">
        <v>178</v>
      </c>
      <c r="C60" t="s">
        <v>179</v>
      </c>
      <c r="D60" s="1">
        <v>0.27</v>
      </c>
    </row>
    <row r="61" spans="1:6" x14ac:dyDescent="0.35">
      <c r="A61" t="s">
        <v>170</v>
      </c>
      <c r="B61" t="s">
        <v>180</v>
      </c>
      <c r="C61" t="s">
        <v>181</v>
      </c>
      <c r="D61" s="1">
        <v>0.55000000000000004</v>
      </c>
    </row>
    <row r="62" spans="1:6" x14ac:dyDescent="0.35">
      <c r="A62" t="s">
        <v>182</v>
      </c>
      <c r="B62" t="s">
        <v>183</v>
      </c>
      <c r="C62" t="s">
        <v>184</v>
      </c>
      <c r="D62" s="1">
        <v>0.13</v>
      </c>
      <c r="E62">
        <v>-6</v>
      </c>
      <c r="F62" t="s">
        <v>185</v>
      </c>
    </row>
    <row r="63" spans="1:6" x14ac:dyDescent="0.35">
      <c r="A63" t="s">
        <v>186</v>
      </c>
      <c r="B63" t="s">
        <v>187</v>
      </c>
      <c r="C63" t="s">
        <v>188</v>
      </c>
      <c r="D63" s="1">
        <v>0.54</v>
      </c>
      <c r="E63">
        <v>-10</v>
      </c>
      <c r="F63" t="s">
        <v>189</v>
      </c>
    </row>
    <row r="64" spans="1:6" x14ac:dyDescent="0.35">
      <c r="A64" t="s">
        <v>190</v>
      </c>
      <c r="B64" t="s">
        <v>191</v>
      </c>
      <c r="C64" t="s">
        <v>192</v>
      </c>
      <c r="D64" s="1">
        <v>0.55000000000000004</v>
      </c>
      <c r="E64">
        <v>-13</v>
      </c>
      <c r="F64" t="s">
        <v>193</v>
      </c>
    </row>
    <row r="65" spans="1:6" x14ac:dyDescent="0.35">
      <c r="A65" t="s">
        <v>194</v>
      </c>
      <c r="B65" t="s">
        <v>195</v>
      </c>
      <c r="C65" t="s">
        <v>196</v>
      </c>
      <c r="D65" s="1">
        <v>0.49</v>
      </c>
      <c r="E65">
        <v>-69</v>
      </c>
      <c r="F65" t="s">
        <v>197</v>
      </c>
    </row>
    <row r="66" spans="1:6" x14ac:dyDescent="0.35">
      <c r="A66" t="s">
        <v>198</v>
      </c>
      <c r="B66" t="s">
        <v>199</v>
      </c>
      <c r="C66" t="s">
        <v>200</v>
      </c>
      <c r="D66" s="1">
        <v>0.52</v>
      </c>
      <c r="E66">
        <v>-15</v>
      </c>
      <c r="F66" t="s">
        <v>201</v>
      </c>
    </row>
    <row r="67" spans="1:6" x14ac:dyDescent="0.35">
      <c r="A67" t="s">
        <v>202</v>
      </c>
      <c r="B67" t="s">
        <v>203</v>
      </c>
      <c r="C67" t="s">
        <v>204</v>
      </c>
      <c r="D67" s="1">
        <v>0.22</v>
      </c>
      <c r="E67">
        <v>-16</v>
      </c>
      <c r="F67" t="s">
        <v>205</v>
      </c>
    </row>
    <row r="68" spans="1:6" x14ac:dyDescent="0.35">
      <c r="A68" t="s">
        <v>206</v>
      </c>
      <c r="B68" t="s">
        <v>45</v>
      </c>
      <c r="C68" t="s">
        <v>207</v>
      </c>
      <c r="D68" s="1">
        <v>0.45</v>
      </c>
      <c r="E68">
        <v>-6</v>
      </c>
      <c r="F68" t="s">
        <v>208</v>
      </c>
    </row>
    <row r="69" spans="1:6" x14ac:dyDescent="0.35">
      <c r="A69" t="s">
        <v>209</v>
      </c>
      <c r="B69" t="s">
        <v>210</v>
      </c>
      <c r="C69" t="s">
        <v>144</v>
      </c>
      <c r="D69" s="1">
        <v>0.5</v>
      </c>
      <c r="E69">
        <v>-7</v>
      </c>
      <c r="F69" t="s">
        <v>211</v>
      </c>
    </row>
    <row r="70" spans="1:6" x14ac:dyDescent="0.35">
      <c r="A70" t="s">
        <v>212</v>
      </c>
      <c r="B70" t="s">
        <v>213</v>
      </c>
      <c r="C70" t="s">
        <v>214</v>
      </c>
      <c r="D70" s="1">
        <v>0.39</v>
      </c>
      <c r="E70">
        <v>-5</v>
      </c>
      <c r="F70" t="s">
        <v>189</v>
      </c>
    </row>
    <row r="71" spans="1:6" x14ac:dyDescent="0.35">
      <c r="A71" t="s">
        <v>215</v>
      </c>
      <c r="B71" t="s">
        <v>104</v>
      </c>
      <c r="C71" t="s">
        <v>216</v>
      </c>
      <c r="D71" s="1">
        <v>0.45</v>
      </c>
      <c r="E71">
        <v>-17</v>
      </c>
      <c r="F71" t="s">
        <v>217</v>
      </c>
    </row>
    <row r="72" spans="1:6" x14ac:dyDescent="0.35">
      <c r="A72" t="s">
        <v>218</v>
      </c>
      <c r="B72" t="s">
        <v>219</v>
      </c>
      <c r="C72" t="s">
        <v>220</v>
      </c>
      <c r="D72" s="1">
        <v>0.28999999999999998</v>
      </c>
      <c r="E72">
        <v>-5</v>
      </c>
      <c r="F72" t="s">
        <v>189</v>
      </c>
    </row>
    <row r="73" spans="1:6" x14ac:dyDescent="0.35">
      <c r="A73" t="s">
        <v>221</v>
      </c>
      <c r="B73" t="s">
        <v>222</v>
      </c>
      <c r="C73" t="s">
        <v>223</v>
      </c>
      <c r="D73" s="1">
        <v>0.43</v>
      </c>
      <c r="E73">
        <v>-6</v>
      </c>
      <c r="F73" t="s">
        <v>211</v>
      </c>
    </row>
    <row r="74" spans="1:6" x14ac:dyDescent="0.35">
      <c r="A74" t="s">
        <v>224</v>
      </c>
      <c r="B74" t="s">
        <v>225</v>
      </c>
      <c r="C74" t="s">
        <v>226</v>
      </c>
      <c r="D74" s="1">
        <v>0.43</v>
      </c>
      <c r="E74">
        <v>-5</v>
      </c>
      <c r="F74" t="s">
        <v>189</v>
      </c>
    </row>
    <row r="75" spans="1:6" x14ac:dyDescent="0.35">
      <c r="A75" t="s">
        <v>227</v>
      </c>
      <c r="B75" t="s">
        <v>228</v>
      </c>
      <c r="C75" t="s">
        <v>207</v>
      </c>
      <c r="D75" s="1">
        <v>0.47</v>
      </c>
      <c r="E75">
        <v>-6</v>
      </c>
      <c r="F75" t="s">
        <v>208</v>
      </c>
    </row>
    <row r="76" spans="1:6" x14ac:dyDescent="0.35">
      <c r="A76" t="s">
        <v>229</v>
      </c>
      <c r="B76" t="s">
        <v>230</v>
      </c>
      <c r="C76" t="s">
        <v>231</v>
      </c>
      <c r="D76" s="1">
        <v>0.47</v>
      </c>
      <c r="E76">
        <v>-7</v>
      </c>
      <c r="F76" t="s">
        <v>193</v>
      </c>
    </row>
    <row r="77" spans="1:6" x14ac:dyDescent="0.35">
      <c r="A77" t="s">
        <v>232</v>
      </c>
      <c r="B77" t="s">
        <v>233</v>
      </c>
      <c r="C77" t="s">
        <v>234</v>
      </c>
      <c r="D77" s="1">
        <v>0.47</v>
      </c>
    </row>
    <row r="78" spans="1:6" x14ac:dyDescent="0.35">
      <c r="A78" t="s">
        <v>235</v>
      </c>
      <c r="B78" t="s">
        <v>236</v>
      </c>
      <c r="C78" t="s">
        <v>152</v>
      </c>
      <c r="D78" s="1">
        <v>0.43</v>
      </c>
    </row>
    <row r="79" spans="1:6" x14ac:dyDescent="0.35">
      <c r="A79" t="s">
        <v>237</v>
      </c>
      <c r="B79" t="s">
        <v>238</v>
      </c>
      <c r="C79" t="s">
        <v>239</v>
      </c>
      <c r="D79" s="1">
        <v>0.04</v>
      </c>
    </row>
    <row r="80" spans="1:6" x14ac:dyDescent="0.35">
      <c r="A80" t="s">
        <v>240</v>
      </c>
      <c r="B80" t="s">
        <v>241</v>
      </c>
      <c r="C80" t="s">
        <v>242</v>
      </c>
      <c r="D80" s="1">
        <v>0.49</v>
      </c>
    </row>
    <row r="81" spans="1:6" x14ac:dyDescent="0.35">
      <c r="A81" t="s">
        <v>243</v>
      </c>
      <c r="B81" t="s">
        <v>244</v>
      </c>
      <c r="C81" t="s">
        <v>15</v>
      </c>
      <c r="D81" s="1">
        <v>0.46</v>
      </c>
      <c r="E81">
        <v>-1</v>
      </c>
      <c r="F81" t="s">
        <v>189</v>
      </c>
    </row>
    <row r="82" spans="1:6" x14ac:dyDescent="0.35">
      <c r="A82" t="s">
        <v>245</v>
      </c>
      <c r="B82" t="s">
        <v>246</v>
      </c>
      <c r="C82" t="s">
        <v>247</v>
      </c>
      <c r="D82" s="1">
        <v>0.49</v>
      </c>
      <c r="E82">
        <v>-1</v>
      </c>
      <c r="F82" t="s">
        <v>59</v>
      </c>
    </row>
    <row r="83" spans="1:6" x14ac:dyDescent="0.35">
      <c r="A83" t="s">
        <v>248</v>
      </c>
      <c r="B83" t="s">
        <v>249</v>
      </c>
      <c r="C83" t="s">
        <v>250</v>
      </c>
      <c r="D83" s="1">
        <v>0.36</v>
      </c>
    </row>
    <row r="84" spans="1:6" x14ac:dyDescent="0.35">
      <c r="A84" t="s">
        <v>251</v>
      </c>
      <c r="B84" t="s">
        <v>252</v>
      </c>
      <c r="C84" t="s">
        <v>162</v>
      </c>
      <c r="D84" s="1">
        <v>0.02</v>
      </c>
    </row>
    <row r="85" spans="1:6" x14ac:dyDescent="0.35">
      <c r="A85" t="s">
        <v>253</v>
      </c>
      <c r="B85" t="s">
        <v>254</v>
      </c>
      <c r="C85" t="s">
        <v>91</v>
      </c>
      <c r="D85" s="1">
        <v>0.49</v>
      </c>
      <c r="E85">
        <v>-1</v>
      </c>
      <c r="F85" t="s">
        <v>29</v>
      </c>
    </row>
    <row r="86" spans="1:6" x14ac:dyDescent="0.35">
      <c r="A86" t="s">
        <v>137</v>
      </c>
      <c r="B86" t="s">
        <v>138</v>
      </c>
      <c r="C86" t="s">
        <v>139</v>
      </c>
      <c r="D86" s="1">
        <v>0.42</v>
      </c>
    </row>
    <row r="87" spans="1:6" x14ac:dyDescent="0.35">
      <c r="A87" t="s">
        <v>154</v>
      </c>
      <c r="B87" t="s">
        <v>255</v>
      </c>
      <c r="C87" t="s">
        <v>222</v>
      </c>
      <c r="D87" s="1">
        <v>0.49</v>
      </c>
    </row>
    <row r="88" spans="1:6" x14ac:dyDescent="0.35">
      <c r="A88" t="s">
        <v>256</v>
      </c>
      <c r="B88" t="s">
        <v>257</v>
      </c>
      <c r="C88" t="s">
        <v>162</v>
      </c>
      <c r="D88" s="1">
        <v>0.14000000000000001</v>
      </c>
    </row>
    <row r="89" spans="1:6" x14ac:dyDescent="0.35">
      <c r="A89" t="s">
        <v>258</v>
      </c>
      <c r="B89" t="s">
        <v>259</v>
      </c>
      <c r="C89" t="s">
        <v>260</v>
      </c>
      <c r="D89" s="1">
        <v>0.49</v>
      </c>
    </row>
    <row r="90" spans="1:6" x14ac:dyDescent="0.35">
      <c r="A90" t="s">
        <v>261</v>
      </c>
      <c r="B90" t="s">
        <v>43</v>
      </c>
      <c r="C90" t="s">
        <v>172</v>
      </c>
      <c r="D90" s="1">
        <v>0.11</v>
      </c>
    </row>
    <row r="91" spans="1:6" x14ac:dyDescent="0.35">
      <c r="A91" t="s">
        <v>175</v>
      </c>
      <c r="B91" t="s">
        <v>262</v>
      </c>
      <c r="C91" t="s">
        <v>263</v>
      </c>
      <c r="D91" s="1">
        <v>0.49</v>
      </c>
    </row>
    <row r="92" spans="1:6" x14ac:dyDescent="0.35">
      <c r="A92" t="s">
        <v>264</v>
      </c>
      <c r="B92" t="s">
        <v>265</v>
      </c>
      <c r="C92" t="s">
        <v>162</v>
      </c>
      <c r="D92" s="1">
        <v>0.14000000000000001</v>
      </c>
    </row>
    <row r="93" spans="1:6" x14ac:dyDescent="0.35">
      <c r="A93" t="s">
        <v>266</v>
      </c>
      <c r="B93" t="s">
        <v>267</v>
      </c>
      <c r="C93" t="s">
        <v>268</v>
      </c>
      <c r="D93" s="1">
        <v>0.43</v>
      </c>
    </row>
    <row r="94" spans="1:6" x14ac:dyDescent="0.35">
      <c r="A94" t="s">
        <v>269</v>
      </c>
      <c r="B94" t="s">
        <v>270</v>
      </c>
      <c r="C94" t="s">
        <v>271</v>
      </c>
      <c r="D94" s="1">
        <v>0.5</v>
      </c>
    </row>
    <row r="95" spans="1:6" x14ac:dyDescent="0.35">
      <c r="A95" t="s">
        <v>272</v>
      </c>
      <c r="B95" t="s">
        <v>273</v>
      </c>
      <c r="C95" t="s">
        <v>184</v>
      </c>
      <c r="D95" s="1">
        <v>0.48</v>
      </c>
    </row>
    <row r="96" spans="1:6" x14ac:dyDescent="0.35">
      <c r="A96" t="s">
        <v>274</v>
      </c>
      <c r="B96" t="s">
        <v>275</v>
      </c>
      <c r="C96" t="s">
        <v>276</v>
      </c>
      <c r="D96" s="1">
        <v>0.48</v>
      </c>
    </row>
    <row r="97" spans="1:6" x14ac:dyDescent="0.35">
      <c r="A97" t="s">
        <v>277</v>
      </c>
      <c r="B97" t="s">
        <v>226</v>
      </c>
      <c r="C97" t="s">
        <v>162</v>
      </c>
      <c r="D97" s="1">
        <v>0.47</v>
      </c>
    </row>
    <row r="98" spans="1:6" x14ac:dyDescent="0.35">
      <c r="A98" t="s">
        <v>277</v>
      </c>
      <c r="B98" t="s">
        <v>226</v>
      </c>
      <c r="C98" t="s">
        <v>162</v>
      </c>
      <c r="D98" s="1">
        <v>0.47</v>
      </c>
    </row>
    <row r="99" spans="1:6" x14ac:dyDescent="0.35">
      <c r="A99" t="s">
        <v>278</v>
      </c>
      <c r="B99" t="s">
        <v>152</v>
      </c>
      <c r="C99" t="s">
        <v>279</v>
      </c>
      <c r="D99" s="1">
        <v>0.5</v>
      </c>
    </row>
    <row r="100" spans="1:6" x14ac:dyDescent="0.35">
      <c r="A100" t="s">
        <v>280</v>
      </c>
      <c r="B100" t="s">
        <v>281</v>
      </c>
      <c r="C100" t="s">
        <v>161</v>
      </c>
      <c r="D100" s="1">
        <v>0.08</v>
      </c>
    </row>
    <row r="101" spans="1:6" x14ac:dyDescent="0.35">
      <c r="A101" t="s">
        <v>282</v>
      </c>
      <c r="B101" t="s">
        <v>283</v>
      </c>
      <c r="C101" t="s">
        <v>167</v>
      </c>
      <c r="D101" s="1">
        <v>0.02</v>
      </c>
    </row>
    <row r="102" spans="1:6" x14ac:dyDescent="0.35">
      <c r="A102" t="s">
        <v>284</v>
      </c>
      <c r="B102" t="s">
        <v>285</v>
      </c>
      <c r="C102" t="s">
        <v>286</v>
      </c>
      <c r="D102" s="1">
        <v>0.49</v>
      </c>
    </row>
    <row r="103" spans="1:6" x14ac:dyDescent="0.35">
      <c r="A103" t="s">
        <v>287</v>
      </c>
      <c r="B103" t="s">
        <v>288</v>
      </c>
      <c r="C103" t="s">
        <v>67</v>
      </c>
      <c r="D103" s="1">
        <v>0.04</v>
      </c>
    </row>
    <row r="104" spans="1:6" x14ac:dyDescent="0.35">
      <c r="A104" t="s">
        <v>289</v>
      </c>
      <c r="B104" t="s">
        <v>290</v>
      </c>
      <c r="C104" t="s">
        <v>291</v>
      </c>
      <c r="D104" s="1">
        <v>0.49</v>
      </c>
    </row>
    <row r="105" spans="1:6" x14ac:dyDescent="0.35">
      <c r="A105" t="s">
        <v>292</v>
      </c>
      <c r="B105" t="s">
        <v>293</v>
      </c>
      <c r="C105" t="s">
        <v>294</v>
      </c>
      <c r="D105" s="1">
        <v>0.42</v>
      </c>
    </row>
    <row r="106" spans="1:6" x14ac:dyDescent="0.35">
      <c r="A106" t="s">
        <v>295</v>
      </c>
      <c r="B106" t="s">
        <v>296</v>
      </c>
      <c r="C106" t="s">
        <v>297</v>
      </c>
      <c r="D106" s="1">
        <v>0.21</v>
      </c>
      <c r="E106">
        <v>-1</v>
      </c>
      <c r="F106" t="s">
        <v>59</v>
      </c>
    </row>
    <row r="107" spans="1:6" x14ac:dyDescent="0.35">
      <c r="A107" t="s">
        <v>298</v>
      </c>
      <c r="B107" t="s">
        <v>299</v>
      </c>
      <c r="C107" t="s">
        <v>300</v>
      </c>
      <c r="D107" s="1">
        <v>0.41</v>
      </c>
    </row>
    <row r="108" spans="1:6" x14ac:dyDescent="0.35">
      <c r="A108" t="s">
        <v>301</v>
      </c>
      <c r="B108" t="s">
        <v>302</v>
      </c>
      <c r="C108" t="s">
        <v>303</v>
      </c>
      <c r="D108" s="1">
        <v>0.01</v>
      </c>
    </row>
    <row r="109" spans="1:6" x14ac:dyDescent="0.35">
      <c r="A109" t="s">
        <v>304</v>
      </c>
      <c r="B109" t="s">
        <v>305</v>
      </c>
      <c r="C109" t="s">
        <v>306</v>
      </c>
      <c r="D109" s="1">
        <v>0.24</v>
      </c>
    </row>
    <row r="110" spans="1:6" x14ac:dyDescent="0.35">
      <c r="A110" t="s">
        <v>307</v>
      </c>
      <c r="B110" t="s">
        <v>308</v>
      </c>
      <c r="C110" t="s">
        <v>309</v>
      </c>
      <c r="D110" s="1">
        <v>0.34</v>
      </c>
    </row>
    <row r="111" spans="1:6" x14ac:dyDescent="0.35">
      <c r="A111" t="s">
        <v>310</v>
      </c>
      <c r="B111" t="s">
        <v>146</v>
      </c>
      <c r="C111" t="s">
        <v>311</v>
      </c>
      <c r="D111" s="1">
        <v>0.34</v>
      </c>
    </row>
    <row r="112" spans="1:6" x14ac:dyDescent="0.35">
      <c r="A112" t="s">
        <v>312</v>
      </c>
      <c r="B112" t="s">
        <v>313</v>
      </c>
      <c r="C112" t="s">
        <v>162</v>
      </c>
      <c r="D112" s="1">
        <v>0.02</v>
      </c>
    </row>
    <row r="113" spans="1:6" x14ac:dyDescent="0.35">
      <c r="A113" t="s">
        <v>314</v>
      </c>
      <c r="B113" t="s">
        <v>315</v>
      </c>
      <c r="C113" t="s">
        <v>239</v>
      </c>
      <c r="D113" s="1">
        <v>0.02</v>
      </c>
    </row>
    <row r="114" spans="1:6" x14ac:dyDescent="0.35">
      <c r="A114" t="s">
        <v>316</v>
      </c>
      <c r="B114" t="s">
        <v>155</v>
      </c>
      <c r="C114" t="s">
        <v>317</v>
      </c>
      <c r="D114" s="1">
        <v>0.64</v>
      </c>
    </row>
    <row r="115" spans="1:6" x14ac:dyDescent="0.35">
      <c r="A115" t="s">
        <v>318</v>
      </c>
      <c r="B115" t="s">
        <v>242</v>
      </c>
      <c r="C115" t="s">
        <v>172</v>
      </c>
      <c r="D115" s="1">
        <v>0.5</v>
      </c>
      <c r="E115">
        <v>-1</v>
      </c>
      <c r="F115" t="s">
        <v>319</v>
      </c>
    </row>
    <row r="116" spans="1:6" x14ac:dyDescent="0.35">
      <c r="A116" t="s">
        <v>320</v>
      </c>
      <c r="B116" t="s">
        <v>321</v>
      </c>
      <c r="C116" t="s">
        <v>322</v>
      </c>
      <c r="D116" s="1">
        <v>0.47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033EC-E231-439A-84C7-01133AFD673D}">
  <dimension ref="A1:L116"/>
  <sheetViews>
    <sheetView topLeftCell="A2" workbookViewId="0">
      <selection activeCell="A21" sqref="A21"/>
    </sheetView>
  </sheetViews>
  <sheetFormatPr defaultRowHeight="14.5" x14ac:dyDescent="0.35"/>
  <cols>
    <col min="1" max="1" width="86.1796875" customWidth="1"/>
    <col min="2" max="2" width="18" style="2" customWidth="1"/>
    <col min="3" max="3" width="14.26953125" style="2" customWidth="1"/>
    <col min="4" max="4" width="10.08984375" style="3" customWidth="1"/>
    <col min="5" max="5" width="8.7265625" style="4"/>
    <col min="8" max="8" width="18.1796875" bestFit="1" customWidth="1"/>
    <col min="9" max="9" width="18" bestFit="1" customWidth="1"/>
    <col min="12" max="12" width="24" customWidth="1"/>
  </cols>
  <sheetData>
    <row r="1" spans="1:12" s="5" customFormat="1" x14ac:dyDescent="0.35">
      <c r="A1" s="6" t="s">
        <v>0</v>
      </c>
      <c r="B1" s="7" t="s">
        <v>374</v>
      </c>
      <c r="C1" s="7" t="s">
        <v>373</v>
      </c>
      <c r="D1" s="8" t="s">
        <v>3</v>
      </c>
      <c r="E1" s="9" t="s">
        <v>4</v>
      </c>
      <c r="F1" s="6" t="s">
        <v>368</v>
      </c>
      <c r="G1" s="6" t="s">
        <v>370</v>
      </c>
      <c r="H1" s="6" t="s">
        <v>371</v>
      </c>
      <c r="I1" s="6" t="s">
        <v>372</v>
      </c>
      <c r="J1" s="6" t="s">
        <v>387</v>
      </c>
      <c r="K1" s="6" t="s">
        <v>392</v>
      </c>
      <c r="L1" s="6" t="s">
        <v>398</v>
      </c>
    </row>
    <row r="2" spans="1:12" x14ac:dyDescent="0.35">
      <c r="A2" t="s">
        <v>323</v>
      </c>
      <c r="B2" s="2">
        <v>950</v>
      </c>
      <c r="C2" s="2">
        <v>1525</v>
      </c>
      <c r="D2" s="3">
        <v>0.38</v>
      </c>
      <c r="E2" s="4">
        <v>2</v>
      </c>
      <c r="F2">
        <v>4.5</v>
      </c>
      <c r="G2" t="str">
        <f>IF(tblProducts[[#This Row],[Rating]]="","Missing",IF(tblProducts[[#This Row],[Rating]]&lt;3,"Poor",IF(tblProducts[[#This Row],[Rating]]&lt;=4.5,"Average","Excellent")))</f>
        <v>Average</v>
      </c>
      <c r="H2" t="str">
        <f>IF(tblProducts[[#This Row],[Discount]]="","Missing",IF(tblProducts[[#This Row],[Discount]]&lt;20%,"Low Discount",IF(tblProducts[[#This Row],[Discount]]&lt;=40%,"Medium Discount","High Discount")))</f>
        <v>Medium Discount</v>
      </c>
      <c r="I2" s="2">
        <f>tblProducts[[#This Row],[old price (Ksh)]]-tblProducts[[#This Row],[Current price (Ksh)]]</f>
        <v>575</v>
      </c>
      <c r="J2">
        <f>IF(tblProducts[[#This Row],[Rating]]="","",tblProducts[[#This Row],[Rating]]+tblProducts[[#This Row],[Review]]/1000000+ROW()/100000000)</f>
        <v>4.5000020200000002</v>
      </c>
      <c r="K2" s="11">
        <f>IF(tblProducts[[#This Row],[Review]]="","",tblProducts[[#This Row],[Review]]+tblProducts[[#This Row],[Rating]]/1000)</f>
        <v>2.0045000000000002</v>
      </c>
      <c r="L2" s="11">
        <f>IF(tblProducts[[#This Row],[Discount]]="","",tblProducts[[#This Row],[Discount]]+tblProducts[[#This Row],[Review]]/1000000)</f>
        <v>0.38000200000000001</v>
      </c>
    </row>
    <row r="3" spans="1:12" x14ac:dyDescent="0.35">
      <c r="A3" t="s">
        <v>10</v>
      </c>
      <c r="B3" s="2">
        <v>527</v>
      </c>
      <c r="C3" s="2">
        <v>999</v>
      </c>
      <c r="D3" s="3">
        <v>0.47</v>
      </c>
      <c r="E3" s="4">
        <v>14</v>
      </c>
      <c r="F3">
        <v>4.0999999999999996</v>
      </c>
      <c r="G3" t="str">
        <f>IF(tblProducts[[#This Row],[Rating]]="","Missing",IF(tblProducts[[#This Row],[Rating]]&lt;3,"Poor",IF(tblProducts[[#This Row],[Rating]]&lt;=4.5,"Average","Excellent")))</f>
        <v>Average</v>
      </c>
      <c r="H3" t="str">
        <f>IF(tblProducts[[#This Row],[Discount]]="","Missing",IF(tblProducts[[#This Row],[Discount]]&lt;20%,"Low Discount",IF(tblProducts[[#This Row],[Discount]]&lt;=40%,"Medium Discount","High Discount")))</f>
        <v>High Discount</v>
      </c>
      <c r="I3" s="2">
        <f>tblProducts[[#This Row],[old price (Ksh)]]-tblProducts[[#This Row],[Current price (Ksh)]]</f>
        <v>472</v>
      </c>
      <c r="J3">
        <f>IF(tblProducts[[#This Row],[Rating]]="","",tblProducts[[#This Row],[Rating]]+tblProducts[[#This Row],[Review]]/1000000+ROW()/100000000)</f>
        <v>4.1000140299999996</v>
      </c>
      <c r="K3" s="11">
        <f>IF(tblProducts[[#This Row],[Review]]="","",tblProducts[[#This Row],[Review]]+tblProducts[[#This Row],[Rating]]/1000)</f>
        <v>14.004099999999999</v>
      </c>
      <c r="L3" s="11">
        <f>IF(tblProducts[[#This Row],[Discount]]="","",tblProducts[[#This Row],[Discount]]+tblProducts[[#This Row],[Review]]/1000000)</f>
        <v>0.47001399999999999</v>
      </c>
    </row>
    <row r="4" spans="1:12" x14ac:dyDescent="0.35">
      <c r="A4" t="s">
        <v>14</v>
      </c>
      <c r="B4" s="2">
        <v>2199</v>
      </c>
      <c r="C4" s="2">
        <v>2923</v>
      </c>
      <c r="D4" s="3">
        <v>0.25</v>
      </c>
      <c r="E4" s="4">
        <v>24</v>
      </c>
      <c r="F4">
        <v>4.5999999999999996</v>
      </c>
      <c r="G4" t="str">
        <f>IF(tblProducts[[#This Row],[Rating]]="","Missing",IF(tblProducts[[#This Row],[Rating]]&lt;3,"Poor",IF(tblProducts[[#This Row],[Rating]]&lt;=4.5,"Average","Excellent")))</f>
        <v>Excellent</v>
      </c>
      <c r="H4" t="str">
        <f>IF(tblProducts[[#This Row],[Discount]]="","Missing",IF(tblProducts[[#This Row],[Discount]]&lt;20%,"Low Discount",IF(tblProducts[[#This Row],[Discount]]&lt;=40%,"Medium Discount","High Discount")))</f>
        <v>Medium Discount</v>
      </c>
      <c r="I4" s="2">
        <f>tblProducts[[#This Row],[old price (Ksh)]]-tblProducts[[#This Row],[Current price (Ksh)]]</f>
        <v>724</v>
      </c>
      <c r="J4">
        <f>IF(tblProducts[[#This Row],[Rating]]="","",tblProducts[[#This Row],[Rating]]+tblProducts[[#This Row],[Review]]/1000000+ROW()/100000000)</f>
        <v>4.6000240399999992</v>
      </c>
      <c r="K4" s="11">
        <f>IF(tblProducts[[#This Row],[Review]]="","",tblProducts[[#This Row],[Review]]+tblProducts[[#This Row],[Rating]]/1000)</f>
        <v>24.0046</v>
      </c>
      <c r="L4" s="11">
        <f>IF(tblProducts[[#This Row],[Discount]]="","",tblProducts[[#This Row],[Discount]]+tblProducts[[#This Row],[Review]]/1000000)</f>
        <v>0.25002400000000002</v>
      </c>
    </row>
    <row r="5" spans="1:12" x14ac:dyDescent="0.35">
      <c r="A5" t="s">
        <v>18</v>
      </c>
      <c r="B5" s="2">
        <v>1580</v>
      </c>
      <c r="C5" s="2">
        <v>2499</v>
      </c>
      <c r="D5" s="3">
        <v>0.37</v>
      </c>
      <c r="E5" s="4">
        <v>7</v>
      </c>
      <c r="F5">
        <v>4.7</v>
      </c>
      <c r="G5" t="str">
        <f>IF(tblProducts[[#This Row],[Rating]]="","Missing",IF(tblProducts[[#This Row],[Rating]]&lt;3,"Poor",IF(tblProducts[[#This Row],[Rating]]&lt;=4.5,"Average","Excellent")))</f>
        <v>Excellent</v>
      </c>
      <c r="H5" t="str">
        <f>IF(tblProducts[[#This Row],[Discount]]="","Missing",IF(tblProducts[[#This Row],[Discount]]&lt;20%,"Low Discount",IF(tblProducts[[#This Row],[Discount]]&lt;=40%,"Medium Discount","High Discount")))</f>
        <v>Medium Discount</v>
      </c>
      <c r="I5" s="2">
        <f>tblProducts[[#This Row],[old price (Ksh)]]-tblProducts[[#This Row],[Current price (Ksh)]]</f>
        <v>919</v>
      </c>
      <c r="J5">
        <f>IF(tblProducts[[#This Row],[Rating]]="","",tblProducts[[#This Row],[Rating]]+tblProducts[[#This Row],[Review]]/1000000+ROW()/100000000)</f>
        <v>4.70000705</v>
      </c>
      <c r="K5" s="11">
        <f>IF(tblProducts[[#This Row],[Review]]="","",tblProducts[[#This Row],[Review]]+tblProducts[[#This Row],[Rating]]/1000)</f>
        <v>7.0046999999999997</v>
      </c>
      <c r="L5" s="11">
        <f>IF(tblProducts[[#This Row],[Discount]]="","",tblProducts[[#This Row],[Discount]]+tblProducts[[#This Row],[Review]]/1000000)</f>
        <v>0.37000699999999997</v>
      </c>
    </row>
    <row r="6" spans="1:12" x14ac:dyDescent="0.35">
      <c r="A6" t="s">
        <v>22</v>
      </c>
      <c r="B6" s="2">
        <v>1740</v>
      </c>
      <c r="C6" s="2">
        <v>2356</v>
      </c>
      <c r="D6" s="3">
        <v>0.26</v>
      </c>
      <c r="E6" s="4">
        <v>5</v>
      </c>
      <c r="F6">
        <v>4.8</v>
      </c>
      <c r="G6" t="str">
        <f>IF(tblProducts[[#This Row],[Rating]]="","Missing",IF(tblProducts[[#This Row],[Rating]]&lt;3,"Poor",IF(tblProducts[[#This Row],[Rating]]&lt;=4.5,"Average","Excellent")))</f>
        <v>Excellent</v>
      </c>
      <c r="H6" t="str">
        <f>IF(tblProducts[[#This Row],[Discount]]="","Missing",IF(tblProducts[[#This Row],[Discount]]&lt;20%,"Low Discount",IF(tblProducts[[#This Row],[Discount]]&lt;=40%,"Medium Discount","High Discount")))</f>
        <v>Medium Discount</v>
      </c>
      <c r="I6" s="2">
        <f>tblProducts[[#This Row],[old price (Ksh)]]-tblProducts[[#This Row],[Current price (Ksh)]]</f>
        <v>616</v>
      </c>
      <c r="J6">
        <f>IF(tblProducts[[#This Row],[Rating]]="","",tblProducts[[#This Row],[Rating]]+tblProducts[[#This Row],[Review]]/1000000+ROW()/100000000)</f>
        <v>4.8000050599999993</v>
      </c>
      <c r="K6" s="11">
        <f>IF(tblProducts[[#This Row],[Review]]="","",tblProducts[[#This Row],[Review]]+tblProducts[[#This Row],[Rating]]/1000)</f>
        <v>5.0048000000000004</v>
      </c>
      <c r="L6" s="11">
        <f>IF(tblProducts[[#This Row],[Discount]]="","",tblProducts[[#This Row],[Discount]]+tblProducts[[#This Row],[Review]]/1000000)</f>
        <v>0.26000499999999999</v>
      </c>
    </row>
    <row r="7" spans="1:12" x14ac:dyDescent="0.35">
      <c r="A7" t="s">
        <v>26</v>
      </c>
      <c r="B7" s="2">
        <v>2999</v>
      </c>
      <c r="C7" s="2">
        <v>3290</v>
      </c>
      <c r="D7" s="3">
        <v>0.09</v>
      </c>
      <c r="E7" s="4">
        <v>15</v>
      </c>
      <c r="F7">
        <v>4</v>
      </c>
      <c r="G7" t="str">
        <f>IF(tblProducts[[#This Row],[Rating]]="","Missing",IF(tblProducts[[#This Row],[Rating]]&lt;3,"Poor",IF(tblProducts[[#This Row],[Rating]]&lt;=4.5,"Average","Excellent")))</f>
        <v>Average</v>
      </c>
      <c r="H7" t="str">
        <f>IF(tblProducts[[#This Row],[Discount]]="","Missing",IF(tblProducts[[#This Row],[Discount]]&lt;20%,"Low Discount",IF(tblProducts[[#This Row],[Discount]]&lt;=40%,"Medium Discount","High Discount")))</f>
        <v>Low Discount</v>
      </c>
      <c r="I7" s="2">
        <f>tblProducts[[#This Row],[old price (Ksh)]]-tblProducts[[#This Row],[Current price (Ksh)]]</f>
        <v>291</v>
      </c>
      <c r="J7">
        <f>IF(tblProducts[[#This Row],[Rating]]="","",tblProducts[[#This Row],[Rating]]+tblProducts[[#This Row],[Review]]/1000000+ROW()/100000000)</f>
        <v>4.0000150699999999</v>
      </c>
      <c r="K7" s="11">
        <f>IF(tblProducts[[#This Row],[Review]]="","",tblProducts[[#This Row],[Review]]+tblProducts[[#This Row],[Rating]]/1000)</f>
        <v>15.004</v>
      </c>
      <c r="L7" s="11">
        <f>IF(tblProducts[[#This Row],[Discount]]="","",tblProducts[[#This Row],[Discount]]+tblProducts[[#This Row],[Review]]/1000000)</f>
        <v>9.0014999999999998E-2</v>
      </c>
    </row>
    <row r="8" spans="1:12" x14ac:dyDescent="0.35">
      <c r="A8" t="s">
        <v>30</v>
      </c>
      <c r="B8" s="2">
        <v>2319</v>
      </c>
      <c r="C8" s="2">
        <v>3032</v>
      </c>
      <c r="D8" s="3">
        <v>0.24</v>
      </c>
      <c r="E8" s="4">
        <v>55</v>
      </c>
      <c r="F8">
        <v>4.5999999999999996</v>
      </c>
      <c r="G8" t="str">
        <f>IF(tblProducts[[#This Row],[Rating]]="","Missing",IF(tblProducts[[#This Row],[Rating]]&lt;3,"Poor",IF(tblProducts[[#This Row],[Rating]]&lt;=4.5,"Average","Excellent")))</f>
        <v>Excellent</v>
      </c>
      <c r="H8" t="str">
        <f>IF(tblProducts[[#This Row],[Discount]]="","Missing",IF(tblProducts[[#This Row],[Discount]]&lt;20%,"Low Discount",IF(tblProducts[[#This Row],[Discount]]&lt;=40%,"Medium Discount","High Discount")))</f>
        <v>Medium Discount</v>
      </c>
      <c r="I8" s="2">
        <f>tblProducts[[#This Row],[old price (Ksh)]]-tblProducts[[#This Row],[Current price (Ksh)]]</f>
        <v>713</v>
      </c>
      <c r="J8">
        <f>IF(tblProducts[[#This Row],[Rating]]="","",tblProducts[[#This Row],[Rating]]+tblProducts[[#This Row],[Review]]/1000000+ROW()/100000000)</f>
        <v>4.6000550799999997</v>
      </c>
      <c r="K8" s="11">
        <f>IF(tblProducts[[#This Row],[Review]]="","",tblProducts[[#This Row],[Review]]+tblProducts[[#This Row],[Rating]]/1000)</f>
        <v>55.004600000000003</v>
      </c>
      <c r="L8" s="11">
        <f>IF(tblProducts[[#This Row],[Discount]]="","",tblProducts[[#This Row],[Discount]]+tblProducts[[#This Row],[Review]]/1000000)</f>
        <v>0.24005499999999999</v>
      </c>
    </row>
    <row r="9" spans="1:12" x14ac:dyDescent="0.35">
      <c r="A9" t="s">
        <v>357</v>
      </c>
      <c r="B9" s="2">
        <v>988</v>
      </c>
      <c r="C9" s="2">
        <v>1580</v>
      </c>
      <c r="D9" s="3">
        <v>0.37</v>
      </c>
      <c r="E9" s="4">
        <v>2</v>
      </c>
      <c r="F9">
        <v>4</v>
      </c>
      <c r="G9" t="str">
        <f>IF(tblProducts[[#This Row],[Rating]]="","Missing",IF(tblProducts[[#This Row],[Rating]]&lt;3,"Poor",IF(tblProducts[[#This Row],[Rating]]&lt;=4.5,"Average","Excellent")))</f>
        <v>Average</v>
      </c>
      <c r="H9" t="str">
        <f>IF(tblProducts[[#This Row],[Discount]]="","Missing",IF(tblProducts[[#This Row],[Discount]]&lt;20%,"Low Discount",IF(tblProducts[[#This Row],[Discount]]&lt;=40%,"Medium Discount","High Discount")))</f>
        <v>Medium Discount</v>
      </c>
      <c r="I9" s="2">
        <f>tblProducts[[#This Row],[old price (Ksh)]]-tblProducts[[#This Row],[Current price (Ksh)]]</f>
        <v>592</v>
      </c>
      <c r="J9">
        <f>IF(tblProducts[[#This Row],[Rating]]="","",tblProducts[[#This Row],[Rating]]+tblProducts[[#This Row],[Review]]/1000000+ROW()/100000000)</f>
        <v>4.0000020900000006</v>
      </c>
      <c r="K9" s="11">
        <f>IF(tblProducts[[#This Row],[Review]]="","",tblProducts[[#This Row],[Review]]+tblProducts[[#This Row],[Rating]]/1000)</f>
        <v>2.004</v>
      </c>
      <c r="L9" s="11">
        <f>IF(tblProducts[[#This Row],[Discount]]="","",tblProducts[[#This Row],[Discount]]+tblProducts[[#This Row],[Review]]/1000000)</f>
        <v>0.370002</v>
      </c>
    </row>
    <row r="10" spans="1:12" x14ac:dyDescent="0.35">
      <c r="A10" t="s">
        <v>324</v>
      </c>
      <c r="B10" s="2">
        <v>1274</v>
      </c>
      <c r="C10" s="2">
        <v>2800</v>
      </c>
      <c r="D10" s="3">
        <v>0.55000000000000004</v>
      </c>
      <c r="E10" s="4">
        <v>5</v>
      </c>
      <c r="F10">
        <v>4.8</v>
      </c>
      <c r="G10" t="str">
        <f>IF(tblProducts[[#This Row],[Rating]]="","Missing",IF(tblProducts[[#This Row],[Rating]]&lt;3,"Poor",IF(tblProducts[[#This Row],[Rating]]&lt;=4.5,"Average","Excellent")))</f>
        <v>Excellent</v>
      </c>
      <c r="H10" t="str">
        <f>IF(tblProducts[[#This Row],[Discount]]="","Missing",IF(tblProducts[[#This Row],[Discount]]&lt;20%,"Low Discount",IF(tblProducts[[#This Row],[Discount]]&lt;=40%,"Medium Discount","High Discount")))</f>
        <v>High Discount</v>
      </c>
      <c r="I10" s="2">
        <f>tblProducts[[#This Row],[old price (Ksh)]]-tblProducts[[#This Row],[Current price (Ksh)]]</f>
        <v>1526</v>
      </c>
      <c r="J10">
        <f>IF(tblProducts[[#This Row],[Rating]]="","",tblProducts[[#This Row],[Rating]]+tblProducts[[#This Row],[Review]]/1000000+ROW()/100000000)</f>
        <v>4.8000050999999999</v>
      </c>
      <c r="K10" s="11">
        <f>IF(tblProducts[[#This Row],[Review]]="","",tblProducts[[#This Row],[Review]]+tblProducts[[#This Row],[Rating]]/1000)</f>
        <v>5.0048000000000004</v>
      </c>
      <c r="L10" s="11">
        <f>IF(tblProducts[[#This Row],[Discount]]="","",tblProducts[[#This Row],[Discount]]+tblProducts[[#This Row],[Review]]/1000000)</f>
        <v>0.55000500000000008</v>
      </c>
    </row>
    <row r="11" spans="1:12" x14ac:dyDescent="0.35">
      <c r="A11" t="s">
        <v>38</v>
      </c>
      <c r="B11" s="2">
        <v>1600</v>
      </c>
      <c r="C11" s="2">
        <v>2929</v>
      </c>
      <c r="D11" s="3">
        <v>0.45</v>
      </c>
      <c r="E11" s="4">
        <v>5</v>
      </c>
      <c r="F11">
        <v>3.8</v>
      </c>
      <c r="G11" t="str">
        <f>IF(tblProducts[[#This Row],[Rating]]="","Missing",IF(tblProducts[[#This Row],[Rating]]&lt;3,"Poor",IF(tblProducts[[#This Row],[Rating]]&lt;=4.5,"Average","Excellent")))</f>
        <v>Average</v>
      </c>
      <c r="H11" t="str">
        <f>IF(tblProducts[[#This Row],[Discount]]="","Missing",IF(tblProducts[[#This Row],[Discount]]&lt;20%,"Low Discount",IF(tblProducts[[#This Row],[Discount]]&lt;=40%,"Medium Discount","High Discount")))</f>
        <v>High Discount</v>
      </c>
      <c r="I11" s="2">
        <f>tblProducts[[#This Row],[old price (Ksh)]]-tblProducts[[#This Row],[Current price (Ksh)]]</f>
        <v>1329</v>
      </c>
      <c r="J11">
        <f>IF(tblProducts[[#This Row],[Rating]]="","",tblProducts[[#This Row],[Rating]]+tblProducts[[#This Row],[Review]]/1000000+ROW()/100000000)</f>
        <v>3.8000051099999999</v>
      </c>
      <c r="K11" s="11">
        <f>IF(tblProducts[[#This Row],[Review]]="","",tblProducts[[#This Row],[Review]]+tblProducts[[#This Row],[Rating]]/1000)</f>
        <v>5.0038</v>
      </c>
      <c r="L11" s="11">
        <f>IF(tblProducts[[#This Row],[Discount]]="","",tblProducts[[#This Row],[Discount]]+tblProducts[[#This Row],[Review]]/1000000)</f>
        <v>0.45000499999999999</v>
      </c>
    </row>
    <row r="12" spans="1:12" x14ac:dyDescent="0.35">
      <c r="A12" t="s">
        <v>367</v>
      </c>
      <c r="B12" s="2">
        <v>799</v>
      </c>
      <c r="C12" s="2">
        <v>999</v>
      </c>
      <c r="D12" s="3">
        <v>0.2</v>
      </c>
      <c r="E12" s="4">
        <v>12</v>
      </c>
      <c r="F12">
        <v>4.0999999999999996</v>
      </c>
      <c r="G12" t="str">
        <f>IF(tblProducts[[#This Row],[Rating]]="","Missing",IF(tblProducts[[#This Row],[Rating]]&lt;3,"Poor",IF(tblProducts[[#This Row],[Rating]]&lt;=4.5,"Average","Excellent")))</f>
        <v>Average</v>
      </c>
      <c r="H12" t="str">
        <f>IF(tblProducts[[#This Row],[Discount]]="","Missing",IF(tblProducts[[#This Row],[Discount]]&lt;20%,"Low Discount",IF(tblProducts[[#This Row],[Discount]]&lt;=40%,"Medium Discount","High Discount")))</f>
        <v>Medium Discount</v>
      </c>
      <c r="I12" s="2">
        <f>tblProducts[[#This Row],[old price (Ksh)]]-tblProducts[[#This Row],[Current price (Ksh)]]</f>
        <v>200</v>
      </c>
      <c r="J12">
        <f>IF(tblProducts[[#This Row],[Rating]]="","",tblProducts[[#This Row],[Rating]]+tblProducts[[#This Row],[Review]]/1000000+ROW()/100000000)</f>
        <v>4.1000121199999997</v>
      </c>
      <c r="K12" s="11">
        <f>IF(tblProducts[[#This Row],[Review]]="","",tblProducts[[#This Row],[Review]]+tblProducts[[#This Row],[Rating]]/1000)</f>
        <v>12.004099999999999</v>
      </c>
      <c r="L12" s="11">
        <f>IF(tblProducts[[#This Row],[Discount]]="","",tblProducts[[#This Row],[Discount]]+tblProducts[[#This Row],[Review]]/1000000)</f>
        <v>0.20001200000000002</v>
      </c>
    </row>
    <row r="13" spans="1:12" x14ac:dyDescent="0.35">
      <c r="A13" t="s">
        <v>44</v>
      </c>
      <c r="B13" s="2">
        <v>990</v>
      </c>
      <c r="C13" s="2">
        <v>1500</v>
      </c>
      <c r="D13" s="3">
        <v>0.34</v>
      </c>
      <c r="E13" s="4">
        <v>39</v>
      </c>
      <c r="F13">
        <v>4.7</v>
      </c>
      <c r="G13" t="str">
        <f>IF(tblProducts[[#This Row],[Rating]]="","Missing",IF(tblProducts[[#This Row],[Rating]]&lt;3,"Poor",IF(tblProducts[[#This Row],[Rating]]&lt;=4.5,"Average","Excellent")))</f>
        <v>Excellent</v>
      </c>
      <c r="H13" t="str">
        <f>IF(tblProducts[[#This Row],[Discount]]="","Missing",IF(tblProducts[[#This Row],[Discount]]&lt;20%,"Low Discount",IF(tblProducts[[#This Row],[Discount]]&lt;=40%,"Medium Discount","High Discount")))</f>
        <v>Medium Discount</v>
      </c>
      <c r="I13" s="2">
        <f>tblProducts[[#This Row],[old price (Ksh)]]-tblProducts[[#This Row],[Current price (Ksh)]]</f>
        <v>510</v>
      </c>
      <c r="J13">
        <f>IF(tblProducts[[#This Row],[Rating]]="","",tblProducts[[#This Row],[Rating]]+tblProducts[[#This Row],[Review]]/1000000+ROW()/100000000)</f>
        <v>4.7000391300000004</v>
      </c>
      <c r="K13" s="11">
        <f>IF(tblProducts[[#This Row],[Review]]="","",tblProducts[[#This Row],[Review]]+tblProducts[[#This Row],[Rating]]/1000)</f>
        <v>39.0047</v>
      </c>
      <c r="L13" s="11">
        <f>IF(tblProducts[[#This Row],[Discount]]="","",tblProducts[[#This Row],[Discount]]+tblProducts[[#This Row],[Review]]/1000000)</f>
        <v>0.34003900000000004</v>
      </c>
    </row>
    <row r="14" spans="1:12" x14ac:dyDescent="0.35">
      <c r="A14" t="s">
        <v>365</v>
      </c>
      <c r="B14" s="2">
        <v>552</v>
      </c>
      <c r="C14" s="2">
        <v>1035</v>
      </c>
      <c r="D14" s="3">
        <v>0.47</v>
      </c>
      <c r="E14" s="4">
        <v>12</v>
      </c>
      <c r="F14">
        <v>4.8</v>
      </c>
      <c r="G14" t="str">
        <f>IF(tblProducts[[#This Row],[Rating]]="","Missing",IF(tblProducts[[#This Row],[Rating]]&lt;3,"Poor",IF(tblProducts[[#This Row],[Rating]]&lt;=4.5,"Average","Excellent")))</f>
        <v>Excellent</v>
      </c>
      <c r="H14" t="str">
        <f>IF(tblProducts[[#This Row],[Discount]]="","Missing",IF(tblProducts[[#This Row],[Discount]]&lt;20%,"Low Discount",IF(tblProducts[[#This Row],[Discount]]&lt;=40%,"Medium Discount","High Discount")))</f>
        <v>High Discount</v>
      </c>
      <c r="I14" s="2">
        <f>tblProducts[[#This Row],[old price (Ksh)]]-tblProducts[[#This Row],[Current price (Ksh)]]</f>
        <v>483</v>
      </c>
      <c r="J14">
        <f>IF(tblProducts[[#This Row],[Rating]]="","",tblProducts[[#This Row],[Rating]]+tblProducts[[#This Row],[Review]]/1000000+ROW()/100000000)</f>
        <v>4.8000121399999998</v>
      </c>
      <c r="K14" s="11">
        <f>IF(tblProducts[[#This Row],[Review]]="","",tblProducts[[#This Row],[Review]]+tblProducts[[#This Row],[Rating]]/1000)</f>
        <v>12.004799999999999</v>
      </c>
      <c r="L14" s="11">
        <f>IF(tblProducts[[#This Row],[Discount]]="","",tblProducts[[#This Row],[Discount]]+tblProducts[[#This Row],[Review]]/1000000)</f>
        <v>0.47001199999999999</v>
      </c>
    </row>
    <row r="15" spans="1:12" x14ac:dyDescent="0.35">
      <c r="A15" t="s">
        <v>325</v>
      </c>
      <c r="B15" s="2">
        <v>501</v>
      </c>
      <c r="C15" s="2">
        <v>860</v>
      </c>
      <c r="D15" s="3">
        <v>0.42</v>
      </c>
      <c r="E15" s="4">
        <v>6</v>
      </c>
      <c r="F15">
        <v>4.5</v>
      </c>
      <c r="G15" t="str">
        <f>IF(tblProducts[[#This Row],[Rating]]="","Missing",IF(tblProducts[[#This Row],[Rating]]&lt;3,"Poor",IF(tblProducts[[#This Row],[Rating]]&lt;=4.5,"Average","Excellent")))</f>
        <v>Average</v>
      </c>
      <c r="H15" t="str">
        <f>IF(tblProducts[[#This Row],[Discount]]="","Missing",IF(tblProducts[[#This Row],[Discount]]&lt;20%,"Low Discount",IF(tblProducts[[#This Row],[Discount]]&lt;=40%,"Medium Discount","High Discount")))</f>
        <v>High Discount</v>
      </c>
      <c r="I15" s="2">
        <f>tblProducts[[#This Row],[old price (Ksh)]]-tblProducts[[#This Row],[Current price (Ksh)]]</f>
        <v>359</v>
      </c>
      <c r="J15">
        <f>IF(tblProducts[[#This Row],[Rating]]="","",tblProducts[[#This Row],[Rating]]+tblProducts[[#This Row],[Review]]/1000000+ROW()/100000000)</f>
        <v>4.5000061499999999</v>
      </c>
      <c r="K15" s="11">
        <f>IF(tblProducts[[#This Row],[Review]]="","",tblProducts[[#This Row],[Review]]+tblProducts[[#This Row],[Rating]]/1000)</f>
        <v>6.0045000000000002</v>
      </c>
      <c r="L15" s="11">
        <f>IF(tblProducts[[#This Row],[Discount]]="","",tblProducts[[#This Row],[Discount]]+tblProducts[[#This Row],[Review]]/1000000)</f>
        <v>0.42000599999999999</v>
      </c>
    </row>
    <row r="16" spans="1:12" x14ac:dyDescent="0.35">
      <c r="A16" t="s">
        <v>53</v>
      </c>
      <c r="B16" s="2">
        <v>1680</v>
      </c>
      <c r="C16" s="2">
        <v>2499</v>
      </c>
      <c r="D16" s="3">
        <v>0.33</v>
      </c>
      <c r="E16" s="4">
        <v>9</v>
      </c>
      <c r="F16">
        <v>4.2</v>
      </c>
      <c r="G16" t="str">
        <f>IF(tblProducts[[#This Row],[Rating]]="","Missing",IF(tblProducts[[#This Row],[Rating]]&lt;3,"Poor",IF(tblProducts[[#This Row],[Rating]]&lt;=4.5,"Average","Excellent")))</f>
        <v>Average</v>
      </c>
      <c r="H16" t="str">
        <f>IF(tblProducts[[#This Row],[Discount]]="","Missing",IF(tblProducts[[#This Row],[Discount]]&lt;20%,"Low Discount",IF(tblProducts[[#This Row],[Discount]]&lt;=40%,"Medium Discount","High Discount")))</f>
        <v>Medium Discount</v>
      </c>
      <c r="I16" s="2">
        <f>tblProducts[[#This Row],[old price (Ksh)]]-tblProducts[[#This Row],[Current price (Ksh)]]</f>
        <v>819</v>
      </c>
      <c r="J16">
        <f>IF(tblProducts[[#This Row],[Rating]]="","",tblProducts[[#This Row],[Rating]]+tblProducts[[#This Row],[Review]]/1000000+ROW()/100000000)</f>
        <v>4.2000091600000005</v>
      </c>
      <c r="K16" s="11">
        <f>IF(tblProducts[[#This Row],[Review]]="","",tblProducts[[#This Row],[Review]]+tblProducts[[#This Row],[Rating]]/1000)</f>
        <v>9.0042000000000009</v>
      </c>
      <c r="L16" s="11">
        <f>IF(tblProducts[[#This Row],[Discount]]="","",tblProducts[[#This Row],[Discount]]+tblProducts[[#This Row],[Review]]/1000000)</f>
        <v>0.330009</v>
      </c>
    </row>
    <row r="17" spans="1:12" x14ac:dyDescent="0.35">
      <c r="A17" t="s">
        <v>326</v>
      </c>
      <c r="B17" s="2">
        <v>332</v>
      </c>
      <c r="C17" s="2">
        <v>684</v>
      </c>
      <c r="D17" s="3">
        <v>0.51</v>
      </c>
      <c r="E17" s="4">
        <v>2</v>
      </c>
      <c r="F17">
        <v>5</v>
      </c>
      <c r="G17" t="str">
        <f>IF(tblProducts[[#This Row],[Rating]]="","Missing",IF(tblProducts[[#This Row],[Rating]]&lt;3,"Poor",IF(tblProducts[[#This Row],[Rating]]&lt;=4.5,"Average","Excellent")))</f>
        <v>Excellent</v>
      </c>
      <c r="H17" t="str">
        <f>IF(tblProducts[[#This Row],[Discount]]="","Missing",IF(tblProducts[[#This Row],[Discount]]&lt;20%,"Low Discount",IF(tblProducts[[#This Row],[Discount]]&lt;=40%,"Medium Discount","High Discount")))</f>
        <v>High Discount</v>
      </c>
      <c r="I17" s="2">
        <f>tblProducts[[#This Row],[old price (Ksh)]]-tblProducts[[#This Row],[Current price (Ksh)]]</f>
        <v>352</v>
      </c>
      <c r="J17">
        <f>IF(tblProducts[[#This Row],[Rating]]="","",tblProducts[[#This Row],[Rating]]+tblProducts[[#This Row],[Review]]/1000000+ROW()/100000000)</f>
        <v>5.0000021700000001</v>
      </c>
      <c r="K17" s="11">
        <f>IF(tblProducts[[#This Row],[Review]]="","",tblProducts[[#This Row],[Review]]+tblProducts[[#This Row],[Rating]]/1000)</f>
        <v>2.0049999999999999</v>
      </c>
      <c r="L17" s="11">
        <f>IF(tblProducts[[#This Row],[Discount]]="","",tblProducts[[#This Row],[Discount]]+tblProducts[[#This Row],[Review]]/1000000)</f>
        <v>0.51000199999999996</v>
      </c>
    </row>
    <row r="18" spans="1:12" x14ac:dyDescent="0.35">
      <c r="A18" t="s">
        <v>327</v>
      </c>
      <c r="B18" s="2">
        <v>195</v>
      </c>
      <c r="C18" s="2">
        <v>360</v>
      </c>
      <c r="D18" s="3">
        <v>0.46</v>
      </c>
      <c r="E18" s="4">
        <v>2</v>
      </c>
      <c r="F18">
        <v>5</v>
      </c>
      <c r="G18" t="str">
        <f>IF(tblProducts[[#This Row],[Rating]]="","Missing",IF(tblProducts[[#This Row],[Rating]]&lt;3,"Poor",IF(tblProducts[[#This Row],[Rating]]&lt;=4.5,"Average","Excellent")))</f>
        <v>Excellent</v>
      </c>
      <c r="H18" t="str">
        <f>IF(tblProducts[[#This Row],[Discount]]="","Missing",IF(tblProducts[[#This Row],[Discount]]&lt;20%,"Low Discount",IF(tblProducts[[#This Row],[Discount]]&lt;=40%,"Medium Discount","High Discount")))</f>
        <v>High Discount</v>
      </c>
      <c r="I18" s="2">
        <f>tblProducts[[#This Row],[old price (Ksh)]]-tblProducts[[#This Row],[Current price (Ksh)]]</f>
        <v>165</v>
      </c>
      <c r="J18">
        <f>IF(tblProducts[[#This Row],[Rating]]="","",tblProducts[[#This Row],[Rating]]+tblProducts[[#This Row],[Review]]/1000000+ROW()/100000000)</f>
        <v>5.0000021800000001</v>
      </c>
      <c r="K18" s="11">
        <f>IF(tblProducts[[#This Row],[Review]]="","",tblProducts[[#This Row],[Review]]+tblProducts[[#This Row],[Rating]]/1000)</f>
        <v>2.0049999999999999</v>
      </c>
      <c r="L18" s="11">
        <f>IF(tblProducts[[#This Row],[Discount]]="","",tblProducts[[#This Row],[Discount]]+tblProducts[[#This Row],[Review]]/1000000)</f>
        <v>0.46000200000000002</v>
      </c>
    </row>
    <row r="19" spans="1:12" x14ac:dyDescent="0.35">
      <c r="A19" t="s">
        <v>328</v>
      </c>
      <c r="B19" s="2">
        <v>2025</v>
      </c>
      <c r="C19" s="2">
        <v>3971</v>
      </c>
      <c r="D19" s="3">
        <v>0.49</v>
      </c>
      <c r="E19" s="4">
        <v>3</v>
      </c>
      <c r="F19">
        <v>5</v>
      </c>
      <c r="G19" t="str">
        <f>IF(tblProducts[[#This Row],[Rating]]="","Missing",IF(tblProducts[[#This Row],[Rating]]&lt;3,"Poor",IF(tblProducts[[#This Row],[Rating]]&lt;=4.5,"Average","Excellent")))</f>
        <v>Excellent</v>
      </c>
      <c r="H19" t="str">
        <f>IF(tblProducts[[#This Row],[Discount]]="","Missing",IF(tblProducts[[#This Row],[Discount]]&lt;20%,"Low Discount",IF(tblProducts[[#This Row],[Discount]]&lt;=40%,"Medium Discount","High Discount")))</f>
        <v>High Discount</v>
      </c>
      <c r="I19" s="2">
        <f>tblProducts[[#This Row],[old price (Ksh)]]-tblProducts[[#This Row],[Current price (Ksh)]]</f>
        <v>1946</v>
      </c>
      <c r="J19">
        <f>IF(tblProducts[[#This Row],[Rating]]="","",tblProducts[[#This Row],[Rating]]+tblProducts[[#This Row],[Review]]/1000000+ROW()/100000000)</f>
        <v>5.0000031900000002</v>
      </c>
      <c r="K19" s="11">
        <f>IF(tblProducts[[#This Row],[Review]]="","",tblProducts[[#This Row],[Review]]+tblProducts[[#This Row],[Rating]]/1000)</f>
        <v>3.0049999999999999</v>
      </c>
      <c r="L19" s="11">
        <f>IF(tblProducts[[#This Row],[Discount]]="","",tblProducts[[#This Row],[Discount]]+tblProducts[[#This Row],[Review]]/1000000)</f>
        <v>0.49000299999999997</v>
      </c>
    </row>
    <row r="20" spans="1:12" x14ac:dyDescent="0.35">
      <c r="A20" t="s">
        <v>66</v>
      </c>
      <c r="B20" s="2">
        <v>2999</v>
      </c>
      <c r="C20" s="2">
        <v>3699</v>
      </c>
      <c r="D20" s="3">
        <v>0.19</v>
      </c>
      <c r="E20" s="4">
        <v>5</v>
      </c>
      <c r="F20">
        <v>4.5999999999999996</v>
      </c>
      <c r="G20" t="str">
        <f>IF(tblProducts[[#This Row],[Rating]]="","Missing",IF(tblProducts[[#This Row],[Rating]]&lt;3,"Poor",IF(tblProducts[[#This Row],[Rating]]&lt;=4.5,"Average","Excellent")))</f>
        <v>Excellent</v>
      </c>
      <c r="H20" t="str">
        <f>IF(tblProducts[[#This Row],[Discount]]="","Missing",IF(tblProducts[[#This Row],[Discount]]&lt;20%,"Low Discount",IF(tblProducts[[#This Row],[Discount]]&lt;=40%,"Medium Discount","High Discount")))</f>
        <v>Low Discount</v>
      </c>
      <c r="I20" s="2">
        <f>tblProducts[[#This Row],[old price (Ksh)]]-tblProducts[[#This Row],[Current price (Ksh)]]</f>
        <v>700</v>
      </c>
      <c r="J20">
        <f>IF(tblProducts[[#This Row],[Rating]]="","",tblProducts[[#This Row],[Rating]]+tblProducts[[#This Row],[Review]]/1000000+ROW()/100000000)</f>
        <v>4.6000051999999991</v>
      </c>
      <c r="K20" s="11">
        <f>IF(tblProducts[[#This Row],[Review]]="","",tblProducts[[#This Row],[Review]]+tblProducts[[#This Row],[Rating]]/1000)</f>
        <v>5.0045999999999999</v>
      </c>
      <c r="L20" s="11">
        <f>IF(tblProducts[[#This Row],[Discount]]="","",tblProducts[[#This Row],[Discount]]+tblProducts[[#This Row],[Review]]/1000000)</f>
        <v>0.19000500000000001</v>
      </c>
    </row>
    <row r="21" spans="1:12" x14ac:dyDescent="0.35">
      <c r="A21" t="s">
        <v>68</v>
      </c>
      <c r="B21" s="2">
        <v>998</v>
      </c>
      <c r="C21" s="2">
        <v>1966</v>
      </c>
      <c r="D21" s="3">
        <v>0.49</v>
      </c>
      <c r="E21" s="4">
        <v>44</v>
      </c>
      <c r="F21">
        <v>4.5999999999999996</v>
      </c>
      <c r="G21" t="str">
        <f>IF(tblProducts[[#This Row],[Rating]]="","Missing",IF(tblProducts[[#This Row],[Rating]]&lt;3,"Poor",IF(tblProducts[[#This Row],[Rating]]&lt;=4.5,"Average","Excellent")))</f>
        <v>Excellent</v>
      </c>
      <c r="H21" t="str">
        <f>IF(tblProducts[[#This Row],[Discount]]="","Missing",IF(tblProducts[[#This Row],[Discount]]&lt;20%,"Low Discount",IF(tblProducts[[#This Row],[Discount]]&lt;=40%,"Medium Discount","High Discount")))</f>
        <v>High Discount</v>
      </c>
      <c r="I21" s="2">
        <f>tblProducts[[#This Row],[old price (Ksh)]]-tblProducts[[#This Row],[Current price (Ksh)]]</f>
        <v>968</v>
      </c>
      <c r="J21">
        <f>IF(tblProducts[[#This Row],[Rating]]="","",tblProducts[[#This Row],[Rating]]+tblProducts[[#This Row],[Review]]/1000000+ROW()/100000000)</f>
        <v>4.6000442099999992</v>
      </c>
      <c r="K21" s="11">
        <f>IF(tblProducts[[#This Row],[Review]]="","",tblProducts[[#This Row],[Review]]+tblProducts[[#This Row],[Rating]]/1000)</f>
        <v>44.004600000000003</v>
      </c>
      <c r="L21" s="11">
        <f>IF(tblProducts[[#This Row],[Discount]]="","",tblProducts[[#This Row],[Discount]]+tblProducts[[#This Row],[Review]]/1000000)</f>
        <v>0.49004399999999998</v>
      </c>
    </row>
    <row r="22" spans="1:12" x14ac:dyDescent="0.35">
      <c r="A22" t="s">
        <v>329</v>
      </c>
      <c r="B22" s="2">
        <v>38</v>
      </c>
      <c r="C22" s="2">
        <v>80</v>
      </c>
      <c r="D22" s="3">
        <v>0.53</v>
      </c>
      <c r="E22" s="4">
        <v>13</v>
      </c>
      <c r="F22">
        <v>3.3</v>
      </c>
      <c r="G22" t="str">
        <f>IF(tblProducts[[#This Row],[Rating]]="","Missing",IF(tblProducts[[#This Row],[Rating]]&lt;3,"Poor",IF(tblProducts[[#This Row],[Rating]]&lt;=4.5,"Average","Excellent")))</f>
        <v>Average</v>
      </c>
      <c r="H22" t="str">
        <f>IF(tblProducts[[#This Row],[Discount]]="","Missing",IF(tblProducts[[#This Row],[Discount]]&lt;20%,"Low Discount",IF(tblProducts[[#This Row],[Discount]]&lt;=40%,"Medium Discount","High Discount")))</f>
        <v>High Discount</v>
      </c>
      <c r="I22" s="2">
        <f>tblProducts[[#This Row],[old price (Ksh)]]-tblProducts[[#This Row],[Current price (Ksh)]]</f>
        <v>42</v>
      </c>
      <c r="J22">
        <f>IF(tblProducts[[#This Row],[Rating]]="","",tblProducts[[#This Row],[Rating]]+tblProducts[[#This Row],[Review]]/1000000+ROW()/100000000)</f>
        <v>3.3000132199999999</v>
      </c>
      <c r="K22" s="11">
        <f>IF(tblProducts[[#This Row],[Review]]="","",tblProducts[[#This Row],[Review]]+tblProducts[[#This Row],[Rating]]/1000)</f>
        <v>13.003299999999999</v>
      </c>
      <c r="L22" s="11">
        <f>IF(tblProducts[[#This Row],[Discount]]="","",tblProducts[[#This Row],[Discount]]+tblProducts[[#This Row],[Review]]/1000000)</f>
        <v>0.53001300000000007</v>
      </c>
    </row>
    <row r="23" spans="1:12" x14ac:dyDescent="0.35">
      <c r="A23" t="s">
        <v>330</v>
      </c>
      <c r="B23" s="2">
        <v>1860</v>
      </c>
      <c r="C23" s="2">
        <v>3220</v>
      </c>
      <c r="D23" s="3">
        <v>0.42</v>
      </c>
      <c r="F23" t="s">
        <v>369</v>
      </c>
      <c r="G23" t="str">
        <f>IF(tblProducts[[#This Row],[Rating]]="","Missing",IF(tblProducts[[#This Row],[Rating]]&lt;3,"Poor",IF(tblProducts[[#This Row],[Rating]]&lt;=4.5,"Average","Excellent")))</f>
        <v>Missing</v>
      </c>
      <c r="H23" t="str">
        <f>IF(tblProducts[[#This Row],[Discount]]="","Missing",IF(tblProducts[[#This Row],[Discount]]&lt;20%,"Low Discount",IF(tblProducts[[#This Row],[Discount]]&lt;=40%,"Medium Discount","High Discount")))</f>
        <v>High Discount</v>
      </c>
      <c r="I23" s="2">
        <f>tblProducts[[#This Row],[old price (Ksh)]]-tblProducts[[#This Row],[Current price (Ksh)]]</f>
        <v>1360</v>
      </c>
      <c r="J23" t="str">
        <f>IF(tblProducts[[#This Row],[Rating]]="","",tblProducts[[#This Row],[Rating]]+tblProducts[[#This Row],[Review]]/1000000+ROW()/100000000)</f>
        <v/>
      </c>
      <c r="K23" s="11" t="str">
        <f>IF(tblProducts[[#This Row],[Review]]="","",tblProducts[[#This Row],[Review]]+tblProducts[[#This Row],[Rating]]/1000)</f>
        <v/>
      </c>
      <c r="L23" s="11">
        <f>IF(tblProducts[[#This Row],[Discount]]="","",tblProducts[[#This Row],[Discount]]+tblProducts[[#This Row],[Review]]/1000000)</f>
        <v>0.42</v>
      </c>
    </row>
    <row r="24" spans="1:12" x14ac:dyDescent="0.35">
      <c r="A24" t="s">
        <v>78</v>
      </c>
      <c r="B24" s="2">
        <v>880</v>
      </c>
      <c r="C24" s="2">
        <v>1350</v>
      </c>
      <c r="D24" s="3">
        <v>0.35</v>
      </c>
      <c r="E24" s="4">
        <v>6</v>
      </c>
      <c r="F24">
        <v>4</v>
      </c>
      <c r="G24" t="str">
        <f>IF(tblProducts[[#This Row],[Rating]]="","Missing",IF(tblProducts[[#This Row],[Rating]]&lt;3,"Poor",IF(tblProducts[[#This Row],[Rating]]&lt;=4.5,"Average","Excellent")))</f>
        <v>Average</v>
      </c>
      <c r="H24" t="str">
        <f>IF(tblProducts[[#This Row],[Discount]]="","Missing",IF(tblProducts[[#This Row],[Discount]]&lt;20%,"Low Discount",IF(tblProducts[[#This Row],[Discount]]&lt;=40%,"Medium Discount","High Discount")))</f>
        <v>Medium Discount</v>
      </c>
      <c r="I24" s="2">
        <f>tblProducts[[#This Row],[old price (Ksh)]]-tblProducts[[#This Row],[Current price (Ksh)]]</f>
        <v>470</v>
      </c>
      <c r="J24">
        <f>IF(tblProducts[[#This Row],[Rating]]="","",tblProducts[[#This Row],[Rating]]+tblProducts[[#This Row],[Review]]/1000000+ROW()/100000000)</f>
        <v>4.0000062400000003</v>
      </c>
      <c r="K24" s="11">
        <f>IF(tblProducts[[#This Row],[Review]]="","",tblProducts[[#This Row],[Review]]+tblProducts[[#This Row],[Rating]]/1000)</f>
        <v>6.0039999999999996</v>
      </c>
      <c r="L24" s="11">
        <f>IF(tblProducts[[#This Row],[Discount]]="","",tblProducts[[#This Row],[Discount]]+tblProducts[[#This Row],[Review]]/1000000)</f>
        <v>0.35000599999999998</v>
      </c>
    </row>
    <row r="25" spans="1:12" x14ac:dyDescent="0.35">
      <c r="A25" t="s">
        <v>81</v>
      </c>
      <c r="B25" s="2">
        <v>1650</v>
      </c>
      <c r="C25" s="2">
        <v>2150</v>
      </c>
      <c r="D25" s="3">
        <v>0.23</v>
      </c>
      <c r="E25" s="4">
        <v>14</v>
      </c>
      <c r="F25">
        <v>4.4000000000000004</v>
      </c>
      <c r="G25" t="str">
        <f>IF(tblProducts[[#This Row],[Rating]]="","Missing",IF(tblProducts[[#This Row],[Rating]]&lt;3,"Poor",IF(tblProducts[[#This Row],[Rating]]&lt;=4.5,"Average","Excellent")))</f>
        <v>Average</v>
      </c>
      <c r="H25" t="str">
        <f>IF(tblProducts[[#This Row],[Discount]]="","Missing",IF(tblProducts[[#This Row],[Discount]]&lt;20%,"Low Discount",IF(tblProducts[[#This Row],[Discount]]&lt;=40%,"Medium Discount","High Discount")))</f>
        <v>Medium Discount</v>
      </c>
      <c r="I25" s="2">
        <f>tblProducts[[#This Row],[old price (Ksh)]]-tblProducts[[#This Row],[Current price (Ksh)]]</f>
        <v>500</v>
      </c>
      <c r="J25">
        <f>IF(tblProducts[[#This Row],[Rating]]="","",tblProducts[[#This Row],[Rating]]+tblProducts[[#This Row],[Review]]/1000000+ROW()/100000000)</f>
        <v>4.4000142500000008</v>
      </c>
      <c r="K25" s="11">
        <f>IF(tblProducts[[#This Row],[Review]]="","",tblProducts[[#This Row],[Review]]+tblProducts[[#This Row],[Rating]]/1000)</f>
        <v>14.0044</v>
      </c>
      <c r="L25" s="11">
        <f>IF(tblProducts[[#This Row],[Discount]]="","",tblProducts[[#This Row],[Discount]]+tblProducts[[#This Row],[Review]]/1000000)</f>
        <v>0.230014</v>
      </c>
    </row>
    <row r="26" spans="1:12" x14ac:dyDescent="0.35">
      <c r="A26" t="s">
        <v>331</v>
      </c>
      <c r="B26" s="2">
        <v>2048</v>
      </c>
      <c r="C26" s="2">
        <v>4500</v>
      </c>
      <c r="D26" s="3">
        <v>0.54</v>
      </c>
      <c r="E26" s="4">
        <v>7</v>
      </c>
      <c r="F26">
        <v>4.3</v>
      </c>
      <c r="G26" t="str">
        <f>IF(tblProducts[[#This Row],[Rating]]="","Missing",IF(tblProducts[[#This Row],[Rating]]&lt;3,"Poor",IF(tblProducts[[#This Row],[Rating]]&lt;=4.5,"Average","Excellent")))</f>
        <v>Average</v>
      </c>
      <c r="H26" t="str">
        <f>IF(tblProducts[[#This Row],[Discount]]="","Missing",IF(tblProducts[[#This Row],[Discount]]&lt;20%,"Low Discount",IF(tblProducts[[#This Row],[Discount]]&lt;=40%,"Medium Discount","High Discount")))</f>
        <v>High Discount</v>
      </c>
      <c r="I26" s="2">
        <f>tblProducts[[#This Row],[old price (Ksh)]]-tblProducts[[#This Row],[Current price (Ksh)]]</f>
        <v>2452</v>
      </c>
      <c r="J26">
        <f>IF(tblProducts[[#This Row],[Rating]]="","",tblProducts[[#This Row],[Rating]]+tblProducts[[#This Row],[Review]]/1000000+ROW()/100000000)</f>
        <v>4.3000072600000001</v>
      </c>
      <c r="K26" s="11">
        <f>IF(tblProducts[[#This Row],[Review]]="","",tblProducts[[#This Row],[Review]]+tblProducts[[#This Row],[Rating]]/1000)</f>
        <v>7.0042999999999997</v>
      </c>
      <c r="L26" s="11">
        <f>IF(tblProducts[[#This Row],[Discount]]="","",tblProducts[[#This Row],[Discount]]+tblProducts[[#This Row],[Review]]/1000000)</f>
        <v>0.54000700000000001</v>
      </c>
    </row>
    <row r="27" spans="1:12" x14ac:dyDescent="0.35">
      <c r="A27" t="s">
        <v>89</v>
      </c>
      <c r="B27" s="2">
        <v>420</v>
      </c>
      <c r="C27" s="2">
        <v>647</v>
      </c>
      <c r="D27" s="3">
        <v>0.35</v>
      </c>
      <c r="E27" s="4">
        <v>49</v>
      </c>
      <c r="F27">
        <v>4.5999999999999996</v>
      </c>
      <c r="G27" t="str">
        <f>IF(tblProducts[[#This Row],[Rating]]="","Missing",IF(tblProducts[[#This Row],[Rating]]&lt;3,"Poor",IF(tblProducts[[#This Row],[Rating]]&lt;=4.5,"Average","Excellent")))</f>
        <v>Excellent</v>
      </c>
      <c r="H27" t="str">
        <f>IF(tblProducts[[#This Row],[Discount]]="","Missing",IF(tblProducts[[#This Row],[Discount]]&lt;20%,"Low Discount",IF(tblProducts[[#This Row],[Discount]]&lt;=40%,"Medium Discount","High Discount")))</f>
        <v>Medium Discount</v>
      </c>
      <c r="I27" s="2">
        <f>tblProducts[[#This Row],[old price (Ksh)]]-tblProducts[[#This Row],[Current price (Ksh)]]</f>
        <v>227</v>
      </c>
      <c r="J27">
        <f>IF(tblProducts[[#This Row],[Rating]]="","",tblProducts[[#This Row],[Rating]]+tblProducts[[#This Row],[Review]]/1000000+ROW()/100000000)</f>
        <v>4.6000492699999995</v>
      </c>
      <c r="K27" s="11">
        <f>IF(tblProducts[[#This Row],[Review]]="","",tblProducts[[#This Row],[Review]]+tblProducts[[#This Row],[Rating]]/1000)</f>
        <v>49.004600000000003</v>
      </c>
      <c r="L27" s="11">
        <f>IF(tblProducts[[#This Row],[Discount]]="","",tblProducts[[#This Row],[Discount]]+tblProducts[[#This Row],[Review]]/1000000)</f>
        <v>0.350049</v>
      </c>
    </row>
    <row r="28" spans="1:12" x14ac:dyDescent="0.35">
      <c r="A28" t="s">
        <v>92</v>
      </c>
      <c r="B28" s="2">
        <v>2880</v>
      </c>
      <c r="C28" s="2">
        <v>3520</v>
      </c>
      <c r="D28" s="3">
        <v>0.18</v>
      </c>
      <c r="E28" s="4">
        <v>12</v>
      </c>
      <c r="F28">
        <v>3.8</v>
      </c>
      <c r="G28" t="str">
        <f>IF(tblProducts[[#This Row],[Rating]]="","Missing",IF(tblProducts[[#This Row],[Rating]]&lt;3,"Poor",IF(tblProducts[[#This Row],[Rating]]&lt;=4.5,"Average","Excellent")))</f>
        <v>Average</v>
      </c>
      <c r="H28" t="str">
        <f>IF(tblProducts[[#This Row],[Discount]]="","Missing",IF(tblProducts[[#This Row],[Discount]]&lt;20%,"Low Discount",IF(tblProducts[[#This Row],[Discount]]&lt;=40%,"Medium Discount","High Discount")))</f>
        <v>Low Discount</v>
      </c>
      <c r="I28" s="2">
        <f>tblProducts[[#This Row],[old price (Ksh)]]-tblProducts[[#This Row],[Current price (Ksh)]]</f>
        <v>640</v>
      </c>
      <c r="J28">
        <f>IF(tblProducts[[#This Row],[Rating]]="","",tblProducts[[#This Row],[Rating]]+tblProducts[[#This Row],[Review]]/1000000+ROW()/100000000)</f>
        <v>3.8000122799999998</v>
      </c>
      <c r="K28" s="11">
        <f>IF(tblProducts[[#This Row],[Review]]="","",tblProducts[[#This Row],[Review]]+tblProducts[[#This Row],[Rating]]/1000)</f>
        <v>12.0038</v>
      </c>
      <c r="L28" s="11">
        <f>IF(tblProducts[[#This Row],[Discount]]="","",tblProducts[[#This Row],[Discount]]+tblProducts[[#This Row],[Review]]/1000000)</f>
        <v>0.18001200000000001</v>
      </c>
    </row>
    <row r="29" spans="1:12" x14ac:dyDescent="0.35">
      <c r="A29" t="s">
        <v>95</v>
      </c>
      <c r="B29" s="2">
        <v>1350</v>
      </c>
      <c r="C29" s="2">
        <v>1990</v>
      </c>
      <c r="D29" s="3">
        <v>0.32</v>
      </c>
      <c r="E29" s="4">
        <v>13</v>
      </c>
      <c r="F29">
        <v>3.8</v>
      </c>
      <c r="G29" t="str">
        <f>IF(tblProducts[[#This Row],[Rating]]="","Missing",IF(tblProducts[[#This Row],[Rating]]&lt;3,"Poor",IF(tblProducts[[#This Row],[Rating]]&lt;=4.5,"Average","Excellent")))</f>
        <v>Average</v>
      </c>
      <c r="H29" t="str">
        <f>IF(tblProducts[[#This Row],[Discount]]="","Missing",IF(tblProducts[[#This Row],[Discount]]&lt;20%,"Low Discount",IF(tblProducts[[#This Row],[Discount]]&lt;=40%,"Medium Discount","High Discount")))</f>
        <v>Medium Discount</v>
      </c>
      <c r="I29" s="2">
        <f>tblProducts[[#This Row],[old price (Ksh)]]-tblProducts[[#This Row],[Current price (Ksh)]]</f>
        <v>640</v>
      </c>
      <c r="J29">
        <f>IF(tblProducts[[#This Row],[Rating]]="","",tblProducts[[#This Row],[Rating]]+tblProducts[[#This Row],[Review]]/1000000+ROW()/100000000)</f>
        <v>3.8000132899999999</v>
      </c>
      <c r="K29" s="11">
        <f>IF(tblProducts[[#This Row],[Review]]="","",tblProducts[[#This Row],[Review]]+tblProducts[[#This Row],[Rating]]/1000)</f>
        <v>13.0038</v>
      </c>
      <c r="L29" s="11">
        <f>IF(tblProducts[[#This Row],[Discount]]="","",tblProducts[[#This Row],[Discount]]+tblProducts[[#This Row],[Review]]/1000000)</f>
        <v>0.32001299999999999</v>
      </c>
    </row>
    <row r="30" spans="1:12" x14ac:dyDescent="0.35">
      <c r="A30" t="s">
        <v>97</v>
      </c>
      <c r="B30" s="2">
        <v>1758</v>
      </c>
      <c r="C30" s="2">
        <v>2499</v>
      </c>
      <c r="D30" s="3">
        <v>0.3</v>
      </c>
      <c r="E30" s="4">
        <v>20</v>
      </c>
      <c r="F30">
        <v>4.0999999999999996</v>
      </c>
      <c r="G30" t="str">
        <f>IF(tblProducts[[#This Row],[Rating]]="","Missing",IF(tblProducts[[#This Row],[Rating]]&lt;3,"Poor",IF(tblProducts[[#This Row],[Rating]]&lt;=4.5,"Average","Excellent")))</f>
        <v>Average</v>
      </c>
      <c r="H30" t="str">
        <f>IF(tblProducts[[#This Row],[Discount]]="","Missing",IF(tblProducts[[#This Row],[Discount]]&lt;20%,"Low Discount",IF(tblProducts[[#This Row],[Discount]]&lt;=40%,"Medium Discount","High Discount")))</f>
        <v>Medium Discount</v>
      </c>
      <c r="I30" s="2">
        <f>tblProducts[[#This Row],[old price (Ksh)]]-tblProducts[[#This Row],[Current price (Ksh)]]</f>
        <v>741</v>
      </c>
      <c r="J30">
        <f>IF(tblProducts[[#This Row],[Rating]]="","",tblProducts[[#This Row],[Rating]]+tblProducts[[#This Row],[Review]]/1000000+ROW()/100000000)</f>
        <v>4.1000202999999997</v>
      </c>
      <c r="K30" s="11">
        <f>IF(tblProducts[[#This Row],[Review]]="","",tblProducts[[#This Row],[Review]]+tblProducts[[#This Row],[Rating]]/1000)</f>
        <v>20.004100000000001</v>
      </c>
      <c r="L30" s="11">
        <f>IF(tblProducts[[#This Row],[Discount]]="","",tblProducts[[#This Row],[Discount]]+tblProducts[[#This Row],[Review]]/1000000)</f>
        <v>0.30002000000000001</v>
      </c>
    </row>
    <row r="31" spans="1:12" x14ac:dyDescent="0.35">
      <c r="A31" t="s">
        <v>332</v>
      </c>
      <c r="B31" s="2">
        <v>2200</v>
      </c>
      <c r="C31" s="2">
        <v>4080</v>
      </c>
      <c r="D31" s="3">
        <v>0.46</v>
      </c>
      <c r="F31" t="s">
        <v>369</v>
      </c>
      <c r="G31" t="str">
        <f>IF(tblProducts[[#This Row],[Rating]]="","Missing",IF(tblProducts[[#This Row],[Rating]]&lt;3,"Poor",IF(tblProducts[[#This Row],[Rating]]&lt;=4.5,"Average","Excellent")))</f>
        <v>Missing</v>
      </c>
      <c r="H31" t="str">
        <f>IF(tblProducts[[#This Row],[Discount]]="","Missing",IF(tblProducts[[#This Row],[Discount]]&lt;20%,"Low Discount",IF(tblProducts[[#This Row],[Discount]]&lt;=40%,"Medium Discount","High Discount")))</f>
        <v>High Discount</v>
      </c>
      <c r="I31" s="2">
        <f>tblProducts[[#This Row],[old price (Ksh)]]-tblProducts[[#This Row],[Current price (Ksh)]]</f>
        <v>1880</v>
      </c>
      <c r="J31" t="str">
        <f>IF(tblProducts[[#This Row],[Rating]]="","",tblProducts[[#This Row],[Rating]]+tblProducts[[#This Row],[Review]]/1000000+ROW()/100000000)</f>
        <v/>
      </c>
      <c r="K31" s="11" t="str">
        <f>IF(tblProducts[[#This Row],[Review]]="","",tblProducts[[#This Row],[Review]]+tblProducts[[#This Row],[Rating]]/1000)</f>
        <v/>
      </c>
      <c r="L31" s="11">
        <f>IF(tblProducts[[#This Row],[Discount]]="","",tblProducts[[#This Row],[Discount]]+tblProducts[[#This Row],[Review]]/1000000)</f>
        <v>0.46</v>
      </c>
    </row>
    <row r="32" spans="1:12" x14ac:dyDescent="0.35">
      <c r="A32" t="s">
        <v>102</v>
      </c>
      <c r="B32" s="2">
        <v>185</v>
      </c>
      <c r="C32" s="2">
        <v>382</v>
      </c>
      <c r="D32" s="3">
        <v>0.52</v>
      </c>
      <c r="E32" s="4">
        <v>9</v>
      </c>
      <c r="F32">
        <v>4.3</v>
      </c>
      <c r="G32" t="str">
        <f>IF(tblProducts[[#This Row],[Rating]]="","Missing",IF(tblProducts[[#This Row],[Rating]]&lt;3,"Poor",IF(tblProducts[[#This Row],[Rating]]&lt;=4.5,"Average","Excellent")))</f>
        <v>Average</v>
      </c>
      <c r="H32" t="str">
        <f>IF(tblProducts[[#This Row],[Discount]]="","Missing",IF(tblProducts[[#This Row],[Discount]]&lt;20%,"Low Discount",IF(tblProducts[[#This Row],[Discount]]&lt;=40%,"Medium Discount","High Discount")))</f>
        <v>High Discount</v>
      </c>
      <c r="I32" s="2">
        <f>tblProducts[[#This Row],[old price (Ksh)]]-tblProducts[[#This Row],[Current price (Ksh)]]</f>
        <v>197</v>
      </c>
      <c r="J32">
        <f>IF(tblProducts[[#This Row],[Rating]]="","",tblProducts[[#This Row],[Rating]]+tblProducts[[#This Row],[Review]]/1000000+ROW()/100000000)</f>
        <v>4.30000932</v>
      </c>
      <c r="K32" s="11">
        <f>IF(tblProducts[[#This Row],[Review]]="","",tblProducts[[#This Row],[Review]]+tblProducts[[#This Row],[Rating]]/1000)</f>
        <v>9.0043000000000006</v>
      </c>
      <c r="L32" s="11">
        <f>IF(tblProducts[[#This Row],[Discount]]="","",tblProducts[[#This Row],[Discount]]+tblProducts[[#This Row],[Review]]/1000000)</f>
        <v>0.52000900000000005</v>
      </c>
    </row>
    <row r="33" spans="1:12" x14ac:dyDescent="0.35">
      <c r="A33" t="s">
        <v>105</v>
      </c>
      <c r="B33" s="2">
        <v>980</v>
      </c>
      <c r="C33" s="2">
        <v>1490</v>
      </c>
      <c r="D33" s="3">
        <v>0.34</v>
      </c>
      <c r="E33" s="4">
        <v>12</v>
      </c>
      <c r="F33">
        <v>4.7</v>
      </c>
      <c r="G33" t="str">
        <f>IF(tblProducts[[#This Row],[Rating]]="","Missing",IF(tblProducts[[#This Row],[Rating]]&lt;3,"Poor",IF(tblProducts[[#This Row],[Rating]]&lt;=4.5,"Average","Excellent")))</f>
        <v>Excellent</v>
      </c>
      <c r="H33" t="str">
        <f>IF(tblProducts[[#This Row],[Discount]]="","Missing",IF(tblProducts[[#This Row],[Discount]]&lt;20%,"Low Discount",IF(tblProducts[[#This Row],[Discount]]&lt;=40%,"Medium Discount","High Discount")))</f>
        <v>Medium Discount</v>
      </c>
      <c r="I33" s="2">
        <f>tblProducts[[#This Row],[old price (Ksh)]]-tblProducts[[#This Row],[Current price (Ksh)]]</f>
        <v>510</v>
      </c>
      <c r="J33">
        <f>IF(tblProducts[[#This Row],[Rating]]="","",tblProducts[[#This Row],[Rating]]+tblProducts[[#This Row],[Review]]/1000000+ROW()/100000000)</f>
        <v>4.7000123299999998</v>
      </c>
      <c r="K33" s="11">
        <f>IF(tblProducts[[#This Row],[Review]]="","",tblProducts[[#This Row],[Review]]+tblProducts[[#This Row],[Rating]]/1000)</f>
        <v>12.0047</v>
      </c>
      <c r="L33" s="11">
        <f>IF(tblProducts[[#This Row],[Discount]]="","",tblProducts[[#This Row],[Discount]]+tblProducts[[#This Row],[Review]]/1000000)</f>
        <v>0.34001200000000004</v>
      </c>
    </row>
    <row r="34" spans="1:12" x14ac:dyDescent="0.35">
      <c r="A34" t="s">
        <v>359</v>
      </c>
      <c r="B34" s="2">
        <v>1820</v>
      </c>
      <c r="C34" s="2">
        <v>3490</v>
      </c>
      <c r="D34" s="3">
        <v>0.48</v>
      </c>
      <c r="E34" s="4">
        <v>9</v>
      </c>
      <c r="F34">
        <v>4.3</v>
      </c>
      <c r="G34" t="str">
        <f>IF(tblProducts[[#This Row],[Rating]]="","Missing",IF(tblProducts[[#This Row],[Rating]]&lt;3,"Poor",IF(tblProducts[[#This Row],[Rating]]&lt;=4.5,"Average","Excellent")))</f>
        <v>Average</v>
      </c>
      <c r="H34" t="str">
        <f>IF(tblProducts[[#This Row],[Discount]]="","Missing",IF(tblProducts[[#This Row],[Discount]]&lt;20%,"Low Discount",IF(tblProducts[[#This Row],[Discount]]&lt;=40%,"Medium Discount","High Discount")))</f>
        <v>High Discount</v>
      </c>
      <c r="I34" s="2">
        <f>tblProducts[[#This Row],[old price (Ksh)]]-tblProducts[[#This Row],[Current price (Ksh)]]</f>
        <v>1670</v>
      </c>
      <c r="J34">
        <f>IF(tblProducts[[#This Row],[Rating]]="","",tblProducts[[#This Row],[Rating]]+tblProducts[[#This Row],[Review]]/1000000+ROW()/100000000)</f>
        <v>4.3000093399999999</v>
      </c>
      <c r="K34" s="11">
        <f>IF(tblProducts[[#This Row],[Review]]="","",tblProducts[[#This Row],[Review]]+tblProducts[[#This Row],[Rating]]/1000)</f>
        <v>9.0043000000000006</v>
      </c>
      <c r="L34" s="11">
        <f>IF(tblProducts[[#This Row],[Discount]]="","",tblProducts[[#This Row],[Discount]]+tblProducts[[#This Row],[Review]]/1000000)</f>
        <v>0.48000899999999996</v>
      </c>
    </row>
    <row r="35" spans="1:12" x14ac:dyDescent="0.35">
      <c r="A35" t="s">
        <v>111</v>
      </c>
      <c r="B35" s="2">
        <v>1940</v>
      </c>
      <c r="C35" s="2">
        <v>2650</v>
      </c>
      <c r="D35" s="3">
        <v>0.27</v>
      </c>
      <c r="E35" s="4">
        <v>20</v>
      </c>
      <c r="F35">
        <v>4.7</v>
      </c>
      <c r="G35" t="str">
        <f>IF(tblProducts[[#This Row],[Rating]]="","Missing",IF(tblProducts[[#This Row],[Rating]]&lt;3,"Poor",IF(tblProducts[[#This Row],[Rating]]&lt;=4.5,"Average","Excellent")))</f>
        <v>Excellent</v>
      </c>
      <c r="H35" t="str">
        <f>IF(tblProducts[[#This Row],[Discount]]="","Missing",IF(tblProducts[[#This Row],[Discount]]&lt;20%,"Low Discount",IF(tblProducts[[#This Row],[Discount]]&lt;=40%,"Medium Discount","High Discount")))</f>
        <v>Medium Discount</v>
      </c>
      <c r="I35" s="2">
        <f>tblProducts[[#This Row],[old price (Ksh)]]-tblProducts[[#This Row],[Current price (Ksh)]]</f>
        <v>710</v>
      </c>
      <c r="J35">
        <f>IF(tblProducts[[#This Row],[Rating]]="","",tblProducts[[#This Row],[Rating]]+tblProducts[[#This Row],[Review]]/1000000+ROW()/100000000)</f>
        <v>4.70002035</v>
      </c>
      <c r="K35" s="11">
        <f>IF(tblProducts[[#This Row],[Review]]="","",tblProducts[[#This Row],[Review]]+tblProducts[[#This Row],[Rating]]/1000)</f>
        <v>20.0047</v>
      </c>
      <c r="L35" s="11">
        <f>IF(tblProducts[[#This Row],[Discount]]="","",tblProducts[[#This Row],[Discount]]+tblProducts[[#This Row],[Review]]/1000000)</f>
        <v>0.27002000000000004</v>
      </c>
    </row>
    <row r="36" spans="1:12" x14ac:dyDescent="0.35">
      <c r="A36" t="s">
        <v>114</v>
      </c>
      <c r="B36" s="2">
        <v>1980</v>
      </c>
      <c r="C36" s="2">
        <v>2699</v>
      </c>
      <c r="D36" s="3">
        <v>0.27</v>
      </c>
      <c r="E36" s="4">
        <v>32</v>
      </c>
      <c r="F36">
        <v>4.5</v>
      </c>
      <c r="G36" t="str">
        <f>IF(tblProducts[[#This Row],[Rating]]="","Missing",IF(tblProducts[[#This Row],[Rating]]&lt;3,"Poor",IF(tblProducts[[#This Row],[Rating]]&lt;=4.5,"Average","Excellent")))</f>
        <v>Average</v>
      </c>
      <c r="H36" t="str">
        <f>IF(tblProducts[[#This Row],[Discount]]="","Missing",IF(tblProducts[[#This Row],[Discount]]&lt;20%,"Low Discount",IF(tblProducts[[#This Row],[Discount]]&lt;=40%,"Medium Discount","High Discount")))</f>
        <v>Medium Discount</v>
      </c>
      <c r="I36" s="2">
        <f>tblProducts[[#This Row],[old price (Ksh)]]-tblProducts[[#This Row],[Current price (Ksh)]]</f>
        <v>719</v>
      </c>
      <c r="J36">
        <f>IF(tblProducts[[#This Row],[Rating]]="","",tblProducts[[#This Row],[Rating]]+tblProducts[[#This Row],[Review]]/1000000+ROW()/100000000)</f>
        <v>4.5000323599999996</v>
      </c>
      <c r="K36" s="11">
        <f>IF(tblProducts[[#This Row],[Review]]="","",tblProducts[[#This Row],[Review]]+tblProducts[[#This Row],[Rating]]/1000)</f>
        <v>32.0045</v>
      </c>
      <c r="L36" s="11">
        <f>IF(tblProducts[[#This Row],[Discount]]="","",tblProducts[[#This Row],[Discount]]+tblProducts[[#This Row],[Review]]/1000000)</f>
        <v>0.27003199999999999</v>
      </c>
    </row>
    <row r="37" spans="1:12" x14ac:dyDescent="0.35">
      <c r="A37" t="s">
        <v>117</v>
      </c>
      <c r="B37" s="2">
        <v>1620</v>
      </c>
      <c r="C37" s="2">
        <v>2690</v>
      </c>
      <c r="D37" s="3">
        <v>0.4</v>
      </c>
      <c r="E37" s="4">
        <v>1</v>
      </c>
      <c r="F37">
        <v>5</v>
      </c>
      <c r="G37" t="str">
        <f>IF(tblProducts[[#This Row],[Rating]]="","Missing",IF(tblProducts[[#This Row],[Rating]]&lt;3,"Poor",IF(tblProducts[[#This Row],[Rating]]&lt;=4.5,"Average","Excellent")))</f>
        <v>Excellent</v>
      </c>
      <c r="H37" t="str">
        <f>IF(tblProducts[[#This Row],[Discount]]="","Missing",IF(tblProducts[[#This Row],[Discount]]&lt;20%,"Low Discount",IF(tblProducts[[#This Row],[Discount]]&lt;=40%,"Medium Discount","High Discount")))</f>
        <v>Medium Discount</v>
      </c>
      <c r="I37" s="2">
        <f>tblProducts[[#This Row],[old price (Ksh)]]-tblProducts[[#This Row],[Current price (Ksh)]]</f>
        <v>1070</v>
      </c>
      <c r="J37">
        <f>IF(tblProducts[[#This Row],[Rating]]="","",tblProducts[[#This Row],[Rating]]+tblProducts[[#This Row],[Review]]/1000000+ROW()/100000000)</f>
        <v>5.0000013700000006</v>
      </c>
      <c r="K37" s="11">
        <f>IF(tblProducts[[#This Row],[Review]]="","",tblProducts[[#This Row],[Review]]+tblProducts[[#This Row],[Rating]]/1000)</f>
        <v>1.0049999999999999</v>
      </c>
      <c r="L37" s="11">
        <f>IF(tblProducts[[#This Row],[Discount]]="","",tblProducts[[#This Row],[Discount]]+tblProducts[[#This Row],[Review]]/1000000)</f>
        <v>0.400001</v>
      </c>
    </row>
    <row r="38" spans="1:12" x14ac:dyDescent="0.35">
      <c r="A38" t="s">
        <v>120</v>
      </c>
      <c r="B38" s="2">
        <v>171</v>
      </c>
      <c r="C38" s="2">
        <v>360</v>
      </c>
      <c r="D38" s="3">
        <v>0.53</v>
      </c>
      <c r="E38" s="4">
        <v>2</v>
      </c>
      <c r="F38">
        <v>5</v>
      </c>
      <c r="G38" t="str">
        <f>IF(tblProducts[[#This Row],[Rating]]="","Missing",IF(tblProducts[[#This Row],[Rating]]&lt;3,"Poor",IF(tblProducts[[#This Row],[Rating]]&lt;=4.5,"Average","Excellent")))</f>
        <v>Excellent</v>
      </c>
      <c r="H38" t="str">
        <f>IF(tblProducts[[#This Row],[Discount]]="","Missing",IF(tblProducts[[#This Row],[Discount]]&lt;20%,"Low Discount",IF(tblProducts[[#This Row],[Discount]]&lt;=40%,"Medium Discount","High Discount")))</f>
        <v>High Discount</v>
      </c>
      <c r="I38" s="2">
        <f>tblProducts[[#This Row],[old price (Ksh)]]-tblProducts[[#This Row],[Current price (Ksh)]]</f>
        <v>189</v>
      </c>
      <c r="J38">
        <f>IF(tblProducts[[#This Row],[Rating]]="","",tblProducts[[#This Row],[Rating]]+tblProducts[[#This Row],[Review]]/1000000+ROW()/100000000)</f>
        <v>5.0000023800000006</v>
      </c>
      <c r="K38" s="11">
        <f>IF(tblProducts[[#This Row],[Review]]="","",tblProducts[[#This Row],[Review]]+tblProducts[[#This Row],[Rating]]/1000)</f>
        <v>2.0049999999999999</v>
      </c>
      <c r="L38" s="11">
        <f>IF(tblProducts[[#This Row],[Discount]]="","",tblProducts[[#This Row],[Discount]]+tblProducts[[#This Row],[Review]]/1000000)</f>
        <v>0.53000199999999997</v>
      </c>
    </row>
    <row r="39" spans="1:12" x14ac:dyDescent="0.35">
      <c r="A39" t="s">
        <v>333</v>
      </c>
      <c r="B39" s="2">
        <v>389</v>
      </c>
      <c r="C39" s="2">
        <v>656</v>
      </c>
      <c r="D39" s="3">
        <v>0.41</v>
      </c>
      <c r="E39" s="4">
        <v>36</v>
      </c>
      <c r="F39">
        <v>4.3</v>
      </c>
      <c r="G39" t="str">
        <f>IF(tblProducts[[#This Row],[Rating]]="","Missing",IF(tblProducts[[#This Row],[Rating]]&lt;3,"Poor",IF(tblProducts[[#This Row],[Rating]]&lt;=4.5,"Average","Excellent")))</f>
        <v>Average</v>
      </c>
      <c r="H39" t="str">
        <f>IF(tblProducts[[#This Row],[Discount]]="","Missing",IF(tblProducts[[#This Row],[Discount]]&lt;20%,"Low Discount",IF(tblProducts[[#This Row],[Discount]]&lt;=40%,"Medium Discount","High Discount")))</f>
        <v>High Discount</v>
      </c>
      <c r="I39" s="2">
        <f>tblProducts[[#This Row],[old price (Ksh)]]-tblProducts[[#This Row],[Current price (Ksh)]]</f>
        <v>267</v>
      </c>
      <c r="J39">
        <f>IF(tblProducts[[#This Row],[Rating]]="","",tblProducts[[#This Row],[Rating]]+tblProducts[[#This Row],[Review]]/1000000+ROW()/100000000)</f>
        <v>4.3000363899999998</v>
      </c>
      <c r="K39" s="11">
        <f>IF(tblProducts[[#This Row],[Review]]="","",tblProducts[[#This Row],[Review]]+tblProducts[[#This Row],[Rating]]/1000)</f>
        <v>36.004300000000001</v>
      </c>
      <c r="L39" s="11">
        <f>IF(tblProducts[[#This Row],[Discount]]="","",tblProducts[[#This Row],[Discount]]+tblProducts[[#This Row],[Review]]/1000000)</f>
        <v>0.41003599999999996</v>
      </c>
    </row>
    <row r="40" spans="1:12" x14ac:dyDescent="0.35">
      <c r="A40" t="s">
        <v>125</v>
      </c>
      <c r="B40" s="2">
        <v>1620</v>
      </c>
      <c r="C40" s="2">
        <v>2200</v>
      </c>
      <c r="D40" s="3">
        <v>0.38</v>
      </c>
      <c r="E40" s="4">
        <v>2</v>
      </c>
      <c r="F40">
        <v>4.5</v>
      </c>
      <c r="G40" t="str">
        <f>IF(tblProducts[[#This Row],[Rating]]="","Missing",IF(tblProducts[[#This Row],[Rating]]&lt;3,"Poor",IF(tblProducts[[#This Row],[Rating]]&lt;=4.5,"Average","Excellent")))</f>
        <v>Average</v>
      </c>
      <c r="H40" t="str">
        <f>IF(tblProducts[[#This Row],[Discount]]="","Missing",IF(tblProducts[[#This Row],[Discount]]&lt;20%,"Low Discount",IF(tblProducts[[#This Row],[Discount]]&lt;=40%,"Medium Discount","High Discount")))</f>
        <v>Medium Discount</v>
      </c>
      <c r="I40" s="2">
        <f>tblProducts[[#This Row],[old price (Ksh)]]-tblProducts[[#This Row],[Current price (Ksh)]]</f>
        <v>580</v>
      </c>
      <c r="J40">
        <f>IF(tblProducts[[#This Row],[Rating]]="","",tblProducts[[#This Row],[Rating]]+tblProducts[[#This Row],[Review]]/1000000+ROW()/100000000)</f>
        <v>4.5000024000000005</v>
      </c>
      <c r="K40" s="11">
        <f>IF(tblProducts[[#This Row],[Review]]="","",tblProducts[[#This Row],[Review]]+tblProducts[[#This Row],[Rating]]/1000)</f>
        <v>2.0045000000000002</v>
      </c>
      <c r="L40" s="11">
        <f>IF(tblProducts[[#This Row],[Discount]]="","",tblProducts[[#This Row],[Discount]]+tblProducts[[#This Row],[Review]]/1000000)</f>
        <v>0.38000200000000001</v>
      </c>
    </row>
    <row r="41" spans="1:12" x14ac:dyDescent="0.35">
      <c r="A41" t="s">
        <v>334</v>
      </c>
      <c r="B41" s="2">
        <v>2750</v>
      </c>
      <c r="C41" s="2">
        <v>4471</v>
      </c>
      <c r="D41" s="3">
        <v>0.38</v>
      </c>
      <c r="F41" t="s">
        <v>369</v>
      </c>
      <c r="G41" t="str">
        <f>IF(tblProducts[[#This Row],[Rating]]="","Missing",IF(tblProducts[[#This Row],[Rating]]&lt;3,"Poor",IF(tblProducts[[#This Row],[Rating]]&lt;=4.5,"Average","Excellent")))</f>
        <v>Missing</v>
      </c>
      <c r="H41" t="str">
        <f>IF(tblProducts[[#This Row],[Discount]]="","Missing",IF(tblProducts[[#This Row],[Discount]]&lt;20%,"Low Discount",IF(tblProducts[[#This Row],[Discount]]&lt;=40%,"Medium Discount","High Discount")))</f>
        <v>Medium Discount</v>
      </c>
      <c r="I41" s="2">
        <f>tblProducts[[#This Row],[old price (Ksh)]]-tblProducts[[#This Row],[Current price (Ksh)]]</f>
        <v>1721</v>
      </c>
      <c r="J41" t="str">
        <f>IF(tblProducts[[#This Row],[Rating]]="","",tblProducts[[#This Row],[Rating]]+tblProducts[[#This Row],[Review]]/1000000+ROW()/100000000)</f>
        <v/>
      </c>
      <c r="K41" s="11" t="str">
        <f>IF(tblProducts[[#This Row],[Review]]="","",tblProducts[[#This Row],[Review]]+tblProducts[[#This Row],[Rating]]/1000)</f>
        <v/>
      </c>
      <c r="L41" s="11">
        <f>IF(tblProducts[[#This Row],[Discount]]="","",tblProducts[[#This Row],[Discount]]+tblProducts[[#This Row],[Review]]/1000000)</f>
        <v>0.38</v>
      </c>
    </row>
    <row r="42" spans="1:12" x14ac:dyDescent="0.35">
      <c r="A42" t="s">
        <v>131</v>
      </c>
      <c r="B42" s="2">
        <v>475</v>
      </c>
      <c r="C42" s="2">
        <v>931</v>
      </c>
      <c r="D42" s="3">
        <v>0.49</v>
      </c>
      <c r="F42" t="s">
        <v>369</v>
      </c>
      <c r="G42" t="str">
        <f>IF(tblProducts[[#This Row],[Rating]]="","Missing",IF(tblProducts[[#This Row],[Rating]]&lt;3,"Poor",IF(tblProducts[[#This Row],[Rating]]&lt;=4.5,"Average","Excellent")))</f>
        <v>Missing</v>
      </c>
      <c r="H42" t="str">
        <f>IF(tblProducts[[#This Row],[Discount]]="","Missing",IF(tblProducts[[#This Row],[Discount]]&lt;20%,"Low Discount",IF(tblProducts[[#This Row],[Discount]]&lt;=40%,"Medium Discount","High Discount")))</f>
        <v>High Discount</v>
      </c>
      <c r="I42" s="2">
        <f>tblProducts[[#This Row],[old price (Ksh)]]-tblProducts[[#This Row],[Current price (Ksh)]]</f>
        <v>456</v>
      </c>
      <c r="J42" t="str">
        <f>IF(tblProducts[[#This Row],[Rating]]="","",tblProducts[[#This Row],[Rating]]+tblProducts[[#This Row],[Review]]/1000000+ROW()/100000000)</f>
        <v/>
      </c>
      <c r="K42" s="11" t="str">
        <f>IF(tblProducts[[#This Row],[Review]]="","",tblProducts[[#This Row],[Review]]+tblProducts[[#This Row],[Rating]]/1000)</f>
        <v/>
      </c>
      <c r="L42" s="11">
        <f>IF(tblProducts[[#This Row],[Discount]]="","",tblProducts[[#This Row],[Discount]]+tblProducts[[#This Row],[Review]]/1000000)</f>
        <v>0.49</v>
      </c>
    </row>
    <row r="43" spans="1:12" x14ac:dyDescent="0.35">
      <c r="A43" t="s">
        <v>335</v>
      </c>
      <c r="B43" s="2">
        <v>238</v>
      </c>
      <c r="C43" s="2">
        <v>476</v>
      </c>
      <c r="D43" s="3">
        <v>0.5</v>
      </c>
      <c r="F43" t="s">
        <v>369</v>
      </c>
      <c r="G43" t="str">
        <f>IF(tblProducts[[#This Row],[Rating]]="","Missing",IF(tblProducts[[#This Row],[Rating]]&lt;3,"Poor",IF(tblProducts[[#This Row],[Rating]]&lt;=4.5,"Average","Excellent")))</f>
        <v>Missing</v>
      </c>
      <c r="H43" t="str">
        <f>IF(tblProducts[[#This Row],[Discount]]="","Missing",IF(tblProducts[[#This Row],[Discount]]&lt;20%,"Low Discount",IF(tblProducts[[#This Row],[Discount]]&lt;=40%,"Medium Discount","High Discount")))</f>
        <v>High Discount</v>
      </c>
      <c r="I43" s="2">
        <f>tblProducts[[#This Row],[old price (Ksh)]]-tblProducts[[#This Row],[Current price (Ksh)]]</f>
        <v>238</v>
      </c>
      <c r="J43" t="str">
        <f>IF(tblProducts[[#This Row],[Rating]]="","",tblProducts[[#This Row],[Rating]]+tblProducts[[#This Row],[Review]]/1000000+ROW()/100000000)</f>
        <v/>
      </c>
      <c r="K43" s="11" t="str">
        <f>IF(tblProducts[[#This Row],[Review]]="","",tblProducts[[#This Row],[Review]]+tblProducts[[#This Row],[Rating]]/1000)</f>
        <v/>
      </c>
      <c r="L43" s="11">
        <f>IF(tblProducts[[#This Row],[Discount]]="","",tblProducts[[#This Row],[Discount]]+tblProducts[[#This Row],[Review]]/1000000)</f>
        <v>0.5</v>
      </c>
    </row>
    <row r="44" spans="1:12" x14ac:dyDescent="0.35">
      <c r="A44" t="s">
        <v>336</v>
      </c>
      <c r="B44" s="2">
        <v>610</v>
      </c>
      <c r="C44" s="2">
        <v>1060</v>
      </c>
      <c r="D44" s="3">
        <v>0.42</v>
      </c>
      <c r="F44" t="s">
        <v>369</v>
      </c>
      <c r="G44" t="str">
        <f>IF(tblProducts[[#This Row],[Rating]]="","Missing",IF(tblProducts[[#This Row],[Rating]]&lt;3,"Poor",IF(tblProducts[[#This Row],[Rating]]&lt;=4.5,"Average","Excellent")))</f>
        <v>Missing</v>
      </c>
      <c r="H44" t="str">
        <f>IF(tblProducts[[#This Row],[Discount]]="","Missing",IF(tblProducts[[#This Row],[Discount]]&lt;20%,"Low Discount",IF(tblProducts[[#This Row],[Discount]]&lt;=40%,"Medium Discount","High Discount")))</f>
        <v>High Discount</v>
      </c>
      <c r="I44" s="2">
        <f>tblProducts[[#This Row],[old price (Ksh)]]-tblProducts[[#This Row],[Current price (Ksh)]]</f>
        <v>450</v>
      </c>
      <c r="J44" t="str">
        <f>IF(tblProducts[[#This Row],[Rating]]="","",tblProducts[[#This Row],[Rating]]+tblProducts[[#This Row],[Review]]/1000000+ROW()/100000000)</f>
        <v/>
      </c>
      <c r="K44" s="11" t="str">
        <f>IF(tblProducts[[#This Row],[Review]]="","",tblProducts[[#This Row],[Review]]+tblProducts[[#This Row],[Rating]]/1000)</f>
        <v/>
      </c>
      <c r="L44" s="11">
        <f>IF(tblProducts[[#This Row],[Discount]]="","",tblProducts[[#This Row],[Discount]]+tblProducts[[#This Row],[Review]]/1000000)</f>
        <v>0.42</v>
      </c>
    </row>
    <row r="45" spans="1:12" x14ac:dyDescent="0.35">
      <c r="A45" t="s">
        <v>336</v>
      </c>
      <c r="B45" s="2">
        <v>610</v>
      </c>
      <c r="C45" s="2">
        <v>1060</v>
      </c>
      <c r="D45" s="3">
        <v>0.42</v>
      </c>
      <c r="F45" t="s">
        <v>369</v>
      </c>
      <c r="G45" t="str">
        <f>IF(tblProducts[[#This Row],[Rating]]="","Missing",IF(tblProducts[[#This Row],[Rating]]&lt;3,"Poor",IF(tblProducts[[#This Row],[Rating]]&lt;=4.5,"Average","Excellent")))</f>
        <v>Missing</v>
      </c>
      <c r="H45" t="str">
        <f>IF(tblProducts[[#This Row],[Discount]]="","Missing",IF(tblProducts[[#This Row],[Discount]]&lt;20%,"Low Discount",IF(tblProducts[[#This Row],[Discount]]&lt;=40%,"Medium Discount","High Discount")))</f>
        <v>High Discount</v>
      </c>
      <c r="I45" s="2">
        <f>tblProducts[[#This Row],[old price (Ksh)]]-tblProducts[[#This Row],[Current price (Ksh)]]</f>
        <v>450</v>
      </c>
      <c r="J45" t="str">
        <f>IF(tblProducts[[#This Row],[Rating]]="","",tblProducts[[#This Row],[Rating]]+tblProducts[[#This Row],[Review]]/1000000+ROW()/100000000)</f>
        <v/>
      </c>
      <c r="K45" s="11" t="str">
        <f>IF(tblProducts[[#This Row],[Review]]="","",tblProducts[[#This Row],[Review]]+tblProducts[[#This Row],[Rating]]/1000)</f>
        <v/>
      </c>
      <c r="L45" s="11">
        <f>IF(tblProducts[[#This Row],[Discount]]="","",tblProducts[[#This Row],[Discount]]+tblProducts[[#This Row],[Review]]/1000000)</f>
        <v>0.42</v>
      </c>
    </row>
    <row r="46" spans="1:12" x14ac:dyDescent="0.35">
      <c r="A46" t="s">
        <v>140</v>
      </c>
      <c r="B46" s="2">
        <v>2132</v>
      </c>
      <c r="C46" s="2">
        <v>2169</v>
      </c>
      <c r="D46" s="3">
        <v>0.02</v>
      </c>
      <c r="F46" t="s">
        <v>369</v>
      </c>
      <c r="G46" t="str">
        <f>IF(tblProducts[[#This Row],[Rating]]="","Missing",IF(tblProducts[[#This Row],[Rating]]&lt;3,"Poor",IF(tblProducts[[#This Row],[Rating]]&lt;=4.5,"Average","Excellent")))</f>
        <v>Missing</v>
      </c>
      <c r="H46" t="str">
        <f>IF(tblProducts[[#This Row],[Discount]]="","Missing",IF(tblProducts[[#This Row],[Discount]]&lt;20%,"Low Discount",IF(tblProducts[[#This Row],[Discount]]&lt;=40%,"Medium Discount","High Discount")))</f>
        <v>Low Discount</v>
      </c>
      <c r="I46" s="2">
        <f>tblProducts[[#This Row],[old price (Ksh)]]-tblProducts[[#This Row],[Current price (Ksh)]]</f>
        <v>37</v>
      </c>
      <c r="J46" t="str">
        <f>IF(tblProducts[[#This Row],[Rating]]="","",tblProducts[[#This Row],[Rating]]+tblProducts[[#This Row],[Review]]/1000000+ROW()/100000000)</f>
        <v/>
      </c>
      <c r="K46" s="11" t="str">
        <f>IF(tblProducts[[#This Row],[Review]]="","",tblProducts[[#This Row],[Review]]+tblProducts[[#This Row],[Rating]]/1000)</f>
        <v/>
      </c>
      <c r="L46" s="11">
        <f>IF(tblProducts[[#This Row],[Discount]]="","",tblProducts[[#This Row],[Discount]]+tblProducts[[#This Row],[Review]]/1000000)</f>
        <v>0.02</v>
      </c>
    </row>
    <row r="47" spans="1:12" x14ac:dyDescent="0.35">
      <c r="A47" t="s">
        <v>143</v>
      </c>
      <c r="B47" s="2">
        <v>999</v>
      </c>
      <c r="C47" s="2">
        <v>2000</v>
      </c>
      <c r="D47" s="3">
        <v>0.5</v>
      </c>
      <c r="F47" t="s">
        <v>369</v>
      </c>
      <c r="G47" t="str">
        <f>IF(tblProducts[[#This Row],[Rating]]="","Missing",IF(tblProducts[[#This Row],[Rating]]&lt;3,"Poor",IF(tblProducts[[#This Row],[Rating]]&lt;=4.5,"Average","Excellent")))</f>
        <v>Missing</v>
      </c>
      <c r="H47" t="str">
        <f>IF(tblProducts[[#This Row],[Discount]]="","Missing",IF(tblProducts[[#This Row],[Discount]]&lt;20%,"Low Discount",IF(tblProducts[[#This Row],[Discount]]&lt;=40%,"Medium Discount","High Discount")))</f>
        <v>High Discount</v>
      </c>
      <c r="I47" s="2">
        <f>tblProducts[[#This Row],[old price (Ksh)]]-tblProducts[[#This Row],[Current price (Ksh)]]</f>
        <v>1001</v>
      </c>
      <c r="J47" t="str">
        <f>IF(tblProducts[[#This Row],[Rating]]="","",tblProducts[[#This Row],[Rating]]+tblProducts[[#This Row],[Review]]/1000000+ROW()/100000000)</f>
        <v/>
      </c>
      <c r="K47" s="11" t="str">
        <f>IF(tblProducts[[#This Row],[Review]]="","",tblProducts[[#This Row],[Review]]+tblProducts[[#This Row],[Rating]]/1000)</f>
        <v/>
      </c>
      <c r="L47" s="11">
        <f>IF(tblProducts[[#This Row],[Discount]]="","",tblProducts[[#This Row],[Discount]]+tblProducts[[#This Row],[Review]]/1000000)</f>
        <v>0.5</v>
      </c>
    </row>
    <row r="48" spans="1:12" x14ac:dyDescent="0.35">
      <c r="A48" t="s">
        <v>145</v>
      </c>
      <c r="B48" s="2">
        <v>1190</v>
      </c>
      <c r="C48" s="2">
        <v>1785</v>
      </c>
      <c r="D48" s="3">
        <v>0.33</v>
      </c>
      <c r="F48" t="s">
        <v>369</v>
      </c>
      <c r="G48" t="str">
        <f>IF(tblProducts[[#This Row],[Rating]]="","Missing",IF(tblProducts[[#This Row],[Rating]]&lt;3,"Poor",IF(tblProducts[[#This Row],[Rating]]&lt;=4.5,"Average","Excellent")))</f>
        <v>Missing</v>
      </c>
      <c r="H48" t="str">
        <f>IF(tblProducts[[#This Row],[Discount]]="","Missing",IF(tblProducts[[#This Row],[Discount]]&lt;20%,"Low Discount",IF(tblProducts[[#This Row],[Discount]]&lt;=40%,"Medium Discount","High Discount")))</f>
        <v>Medium Discount</v>
      </c>
      <c r="I48" s="2">
        <f>tblProducts[[#This Row],[old price (Ksh)]]-tblProducts[[#This Row],[Current price (Ksh)]]</f>
        <v>595</v>
      </c>
      <c r="J48" t="str">
        <f>IF(tblProducts[[#This Row],[Rating]]="","",tblProducts[[#This Row],[Rating]]+tblProducts[[#This Row],[Review]]/1000000+ROW()/100000000)</f>
        <v/>
      </c>
      <c r="K48" s="11" t="str">
        <f>IF(tblProducts[[#This Row],[Review]]="","",tblProducts[[#This Row],[Review]]+tblProducts[[#This Row],[Rating]]/1000)</f>
        <v/>
      </c>
      <c r="L48" s="11">
        <f>IF(tblProducts[[#This Row],[Discount]]="","",tblProducts[[#This Row],[Discount]]+tblProducts[[#This Row],[Review]]/1000000)</f>
        <v>0.33</v>
      </c>
    </row>
    <row r="49" spans="1:12" x14ac:dyDescent="0.35">
      <c r="A49" t="s">
        <v>148</v>
      </c>
      <c r="B49" s="2">
        <v>671</v>
      </c>
      <c r="C49" s="2">
        <v>1316</v>
      </c>
      <c r="D49" s="3">
        <v>0.49</v>
      </c>
      <c r="F49" t="s">
        <v>369</v>
      </c>
      <c r="G49" t="str">
        <f>IF(tblProducts[[#This Row],[Rating]]="","Missing",IF(tblProducts[[#This Row],[Rating]]&lt;3,"Poor",IF(tblProducts[[#This Row],[Rating]]&lt;=4.5,"Average","Excellent")))</f>
        <v>Missing</v>
      </c>
      <c r="H49" t="str">
        <f>IF(tblProducts[[#This Row],[Discount]]="","Missing",IF(tblProducts[[#This Row],[Discount]]&lt;20%,"Low Discount",IF(tblProducts[[#This Row],[Discount]]&lt;=40%,"Medium Discount","High Discount")))</f>
        <v>High Discount</v>
      </c>
      <c r="I49" s="2">
        <f>tblProducts[[#This Row],[old price (Ksh)]]-tblProducts[[#This Row],[Current price (Ksh)]]</f>
        <v>645</v>
      </c>
      <c r="J49" t="str">
        <f>IF(tblProducts[[#This Row],[Rating]]="","",tblProducts[[#This Row],[Rating]]+tblProducts[[#This Row],[Review]]/1000000+ROW()/100000000)</f>
        <v/>
      </c>
      <c r="K49" s="11" t="str">
        <f>IF(tblProducts[[#This Row],[Review]]="","",tblProducts[[#This Row],[Review]]+tblProducts[[#This Row],[Rating]]/1000)</f>
        <v/>
      </c>
      <c r="L49" s="11">
        <f>IF(tblProducts[[#This Row],[Discount]]="","",tblProducts[[#This Row],[Discount]]+tblProducts[[#This Row],[Review]]/1000000)</f>
        <v>0.49</v>
      </c>
    </row>
    <row r="50" spans="1:12" x14ac:dyDescent="0.35">
      <c r="A50" t="s">
        <v>337</v>
      </c>
      <c r="B50" s="2">
        <v>1200</v>
      </c>
      <c r="C50" s="2">
        <v>1950</v>
      </c>
      <c r="D50" s="3">
        <v>0.38</v>
      </c>
      <c r="F50" t="s">
        <v>369</v>
      </c>
      <c r="G50" t="str">
        <f>IF(tblProducts[[#This Row],[Rating]]="","Missing",IF(tblProducts[[#This Row],[Rating]]&lt;3,"Poor",IF(tblProducts[[#This Row],[Rating]]&lt;=4.5,"Average","Excellent")))</f>
        <v>Missing</v>
      </c>
      <c r="H50" t="str">
        <f>IF(tblProducts[[#This Row],[Discount]]="","Missing",IF(tblProducts[[#This Row],[Discount]]&lt;20%,"Low Discount",IF(tblProducts[[#This Row],[Discount]]&lt;=40%,"Medium Discount","High Discount")))</f>
        <v>Medium Discount</v>
      </c>
      <c r="I50" s="2">
        <f>tblProducts[[#This Row],[old price (Ksh)]]-tblProducts[[#This Row],[Current price (Ksh)]]</f>
        <v>750</v>
      </c>
      <c r="J50" t="str">
        <f>IF(tblProducts[[#This Row],[Rating]]="","",tblProducts[[#This Row],[Rating]]+tblProducts[[#This Row],[Review]]/1000000+ROW()/100000000)</f>
        <v/>
      </c>
      <c r="K50" s="11" t="str">
        <f>IF(tblProducts[[#This Row],[Review]]="","",tblProducts[[#This Row],[Review]]+tblProducts[[#This Row],[Rating]]/1000)</f>
        <v/>
      </c>
      <c r="L50" s="11">
        <f>IF(tblProducts[[#This Row],[Discount]]="","",tblProducts[[#This Row],[Discount]]+tblProducts[[#This Row],[Review]]/1000000)</f>
        <v>0.38</v>
      </c>
    </row>
    <row r="51" spans="1:12" x14ac:dyDescent="0.35">
      <c r="A51" t="s">
        <v>154</v>
      </c>
      <c r="B51" s="2">
        <v>199</v>
      </c>
      <c r="C51" s="2">
        <v>504</v>
      </c>
      <c r="D51" s="3">
        <v>0.61</v>
      </c>
      <c r="F51" t="s">
        <v>369</v>
      </c>
      <c r="G51" t="str">
        <f>IF(tblProducts[[#This Row],[Rating]]="","Missing",IF(tblProducts[[#This Row],[Rating]]&lt;3,"Poor",IF(tblProducts[[#This Row],[Rating]]&lt;=4.5,"Average","Excellent")))</f>
        <v>Missing</v>
      </c>
      <c r="H51" t="str">
        <f>IF(tblProducts[[#This Row],[Discount]]="","Missing",IF(tblProducts[[#This Row],[Discount]]&lt;20%,"Low Discount",IF(tblProducts[[#This Row],[Discount]]&lt;=40%,"Medium Discount","High Discount")))</f>
        <v>High Discount</v>
      </c>
      <c r="I51" s="2">
        <f>tblProducts[[#This Row],[old price (Ksh)]]-tblProducts[[#This Row],[Current price (Ksh)]]</f>
        <v>305</v>
      </c>
      <c r="J51" t="str">
        <f>IF(tblProducts[[#This Row],[Rating]]="","",tblProducts[[#This Row],[Rating]]+tblProducts[[#This Row],[Review]]/1000000+ROW()/100000000)</f>
        <v/>
      </c>
      <c r="K51" s="11" t="str">
        <f>IF(tblProducts[[#This Row],[Review]]="","",tblProducts[[#This Row],[Review]]+tblProducts[[#This Row],[Rating]]/1000)</f>
        <v/>
      </c>
      <c r="L51" s="11">
        <f>IF(tblProducts[[#This Row],[Discount]]="","",tblProducts[[#This Row],[Discount]]+tblProducts[[#This Row],[Review]]/1000000)</f>
        <v>0.61</v>
      </c>
    </row>
    <row r="52" spans="1:12" x14ac:dyDescent="0.35">
      <c r="A52" t="s">
        <v>157</v>
      </c>
      <c r="B52" s="2">
        <v>299</v>
      </c>
      <c r="C52" s="2">
        <v>600</v>
      </c>
      <c r="D52" s="3">
        <v>0.5</v>
      </c>
      <c r="F52" t="s">
        <v>369</v>
      </c>
      <c r="G52" t="str">
        <f>IF(tblProducts[[#This Row],[Rating]]="","Missing",IF(tblProducts[[#This Row],[Rating]]&lt;3,"Poor",IF(tblProducts[[#This Row],[Rating]]&lt;=4.5,"Average","Excellent")))</f>
        <v>Missing</v>
      </c>
      <c r="H52" t="str">
        <f>IF(tblProducts[[#This Row],[Discount]]="","Missing",IF(tblProducts[[#This Row],[Discount]]&lt;20%,"Low Discount",IF(tblProducts[[#This Row],[Discount]]&lt;=40%,"Medium Discount","High Discount")))</f>
        <v>High Discount</v>
      </c>
      <c r="I52" s="2">
        <f>tblProducts[[#This Row],[old price (Ksh)]]-tblProducts[[#This Row],[Current price (Ksh)]]</f>
        <v>301</v>
      </c>
      <c r="J52" t="str">
        <f>IF(tblProducts[[#This Row],[Rating]]="","",tblProducts[[#This Row],[Rating]]+tblProducts[[#This Row],[Review]]/1000000+ROW()/100000000)</f>
        <v/>
      </c>
      <c r="K52" s="11" t="str">
        <f>IF(tblProducts[[#This Row],[Review]]="","",tblProducts[[#This Row],[Review]]+tblProducts[[#This Row],[Rating]]/1000)</f>
        <v/>
      </c>
      <c r="L52" s="11">
        <f>IF(tblProducts[[#This Row],[Discount]]="","",tblProducts[[#This Row],[Discount]]+tblProducts[[#This Row],[Review]]/1000000)</f>
        <v>0.5</v>
      </c>
    </row>
    <row r="53" spans="1:12" x14ac:dyDescent="0.35">
      <c r="A53" t="s">
        <v>160</v>
      </c>
      <c r="B53" s="2">
        <v>1660</v>
      </c>
      <c r="C53" s="2">
        <v>1699</v>
      </c>
      <c r="D53" s="3">
        <v>0.02</v>
      </c>
      <c r="F53" t="s">
        <v>369</v>
      </c>
      <c r="G53" t="str">
        <f>IF(tblProducts[[#This Row],[Rating]]="","Missing",IF(tblProducts[[#This Row],[Rating]]&lt;3,"Poor",IF(tblProducts[[#This Row],[Rating]]&lt;=4.5,"Average","Excellent")))</f>
        <v>Missing</v>
      </c>
      <c r="H53" t="str">
        <f>IF(tblProducts[[#This Row],[Discount]]="","Missing",IF(tblProducts[[#This Row],[Discount]]&lt;20%,"Low Discount",IF(tblProducts[[#This Row],[Discount]]&lt;=40%,"Medium Discount","High Discount")))</f>
        <v>Low Discount</v>
      </c>
      <c r="I53" s="2">
        <f>tblProducts[[#This Row],[old price (Ksh)]]-tblProducts[[#This Row],[Current price (Ksh)]]</f>
        <v>39</v>
      </c>
      <c r="J53" t="str">
        <f>IF(tblProducts[[#This Row],[Rating]]="","",tblProducts[[#This Row],[Rating]]+tblProducts[[#This Row],[Review]]/1000000+ROW()/100000000)</f>
        <v/>
      </c>
      <c r="K53" s="11" t="str">
        <f>IF(tblProducts[[#This Row],[Review]]="","",tblProducts[[#This Row],[Review]]+tblProducts[[#This Row],[Rating]]/1000)</f>
        <v/>
      </c>
      <c r="L53" s="11">
        <f>IF(tblProducts[[#This Row],[Discount]]="","",tblProducts[[#This Row],[Discount]]+tblProducts[[#This Row],[Review]]/1000000)</f>
        <v>0.02</v>
      </c>
    </row>
    <row r="54" spans="1:12" x14ac:dyDescent="0.35">
      <c r="A54" t="s">
        <v>163</v>
      </c>
      <c r="B54" s="2">
        <v>299</v>
      </c>
      <c r="C54" s="2">
        <v>384</v>
      </c>
      <c r="D54" s="3">
        <v>0.22</v>
      </c>
      <c r="F54" t="s">
        <v>369</v>
      </c>
      <c r="G54" t="str">
        <f>IF(tblProducts[[#This Row],[Rating]]="","Missing",IF(tblProducts[[#This Row],[Rating]]&lt;3,"Poor",IF(tblProducts[[#This Row],[Rating]]&lt;=4.5,"Average","Excellent")))</f>
        <v>Missing</v>
      </c>
      <c r="H54" t="str">
        <f>IF(tblProducts[[#This Row],[Discount]]="","Missing",IF(tblProducts[[#This Row],[Discount]]&lt;20%,"Low Discount",IF(tblProducts[[#This Row],[Discount]]&lt;=40%,"Medium Discount","High Discount")))</f>
        <v>Medium Discount</v>
      </c>
      <c r="I54" s="2">
        <f>tblProducts[[#This Row],[old price (Ksh)]]-tblProducts[[#This Row],[Current price (Ksh)]]</f>
        <v>85</v>
      </c>
      <c r="J54" t="str">
        <f>IF(tblProducts[[#This Row],[Rating]]="","",tblProducts[[#This Row],[Rating]]+tblProducts[[#This Row],[Review]]/1000000+ROW()/100000000)</f>
        <v/>
      </c>
      <c r="K54" s="11" t="str">
        <f>IF(tblProducts[[#This Row],[Review]]="","",tblProducts[[#This Row],[Review]]+tblProducts[[#This Row],[Rating]]/1000)</f>
        <v/>
      </c>
      <c r="L54" s="11">
        <f>IF(tblProducts[[#This Row],[Discount]]="","",tblProducts[[#This Row],[Discount]]+tblProducts[[#This Row],[Review]]/1000000)</f>
        <v>0.22</v>
      </c>
    </row>
    <row r="55" spans="1:12" x14ac:dyDescent="0.35">
      <c r="A55" t="s">
        <v>338</v>
      </c>
      <c r="B55" s="2">
        <v>1459</v>
      </c>
      <c r="C55" s="2">
        <v>1499</v>
      </c>
      <c r="D55" s="3">
        <v>0.03</v>
      </c>
      <c r="F55" t="s">
        <v>369</v>
      </c>
      <c r="G55" t="str">
        <f>IF(tblProducts[[#This Row],[Rating]]="","Missing",IF(tblProducts[[#This Row],[Rating]]&lt;3,"Poor",IF(tblProducts[[#This Row],[Rating]]&lt;=4.5,"Average","Excellent")))</f>
        <v>Missing</v>
      </c>
      <c r="H55" t="str">
        <f>IF(tblProducts[[#This Row],[Discount]]="","Missing",IF(tblProducts[[#This Row],[Discount]]&lt;20%,"Low Discount",IF(tblProducts[[#This Row],[Discount]]&lt;=40%,"Medium Discount","High Discount")))</f>
        <v>Low Discount</v>
      </c>
      <c r="I55" s="2">
        <f>tblProducts[[#This Row],[old price (Ksh)]]-tblProducts[[#This Row],[Current price (Ksh)]]</f>
        <v>40</v>
      </c>
      <c r="J55" t="str">
        <f>IF(tblProducts[[#This Row],[Rating]]="","",tblProducts[[#This Row],[Rating]]+tblProducts[[#This Row],[Review]]/1000000+ROW()/100000000)</f>
        <v/>
      </c>
      <c r="K55" s="11" t="str">
        <f>IF(tblProducts[[#This Row],[Review]]="","",tblProducts[[#This Row],[Review]]+tblProducts[[#This Row],[Rating]]/1000)</f>
        <v/>
      </c>
      <c r="L55" s="11">
        <f>IF(tblProducts[[#This Row],[Discount]]="","",tblProducts[[#This Row],[Discount]]+tblProducts[[#This Row],[Review]]/1000000)</f>
        <v>0.03</v>
      </c>
    </row>
    <row r="56" spans="1:12" x14ac:dyDescent="0.35">
      <c r="A56" t="s">
        <v>168</v>
      </c>
      <c r="B56" s="2">
        <v>799</v>
      </c>
      <c r="C56" s="2">
        <v>1343</v>
      </c>
      <c r="D56" s="3">
        <v>0.41</v>
      </c>
      <c r="F56" t="s">
        <v>369</v>
      </c>
      <c r="G56" t="str">
        <f>IF(tblProducts[[#This Row],[Rating]]="","Missing",IF(tblProducts[[#This Row],[Rating]]&lt;3,"Poor",IF(tblProducts[[#This Row],[Rating]]&lt;=4.5,"Average","Excellent")))</f>
        <v>Missing</v>
      </c>
      <c r="H56" t="str">
        <f>IF(tblProducts[[#This Row],[Discount]]="","Missing",IF(tblProducts[[#This Row],[Discount]]&lt;20%,"Low Discount",IF(tblProducts[[#This Row],[Discount]]&lt;=40%,"Medium Discount","High Discount")))</f>
        <v>High Discount</v>
      </c>
      <c r="I56" s="2">
        <f>tblProducts[[#This Row],[old price (Ksh)]]-tblProducts[[#This Row],[Current price (Ksh)]]</f>
        <v>544</v>
      </c>
      <c r="J56" t="str">
        <f>IF(tblProducts[[#This Row],[Rating]]="","",tblProducts[[#This Row],[Rating]]+tblProducts[[#This Row],[Review]]/1000000+ROW()/100000000)</f>
        <v/>
      </c>
      <c r="K56" s="11" t="str">
        <f>IF(tblProducts[[#This Row],[Review]]="","",tblProducts[[#This Row],[Review]]+tblProducts[[#This Row],[Rating]]/1000)</f>
        <v/>
      </c>
      <c r="L56" s="11">
        <f>IF(tblProducts[[#This Row],[Discount]]="","",tblProducts[[#This Row],[Discount]]+tblProducts[[#This Row],[Review]]/1000000)</f>
        <v>0.41</v>
      </c>
    </row>
    <row r="57" spans="1:12" x14ac:dyDescent="0.35">
      <c r="A57" t="s">
        <v>170</v>
      </c>
      <c r="B57" s="2">
        <v>499</v>
      </c>
      <c r="C57" s="2">
        <v>900</v>
      </c>
      <c r="D57" s="3">
        <v>0.45</v>
      </c>
      <c r="F57" t="s">
        <v>369</v>
      </c>
      <c r="G57" t="str">
        <f>IF(tblProducts[[#This Row],[Rating]]="","Missing",IF(tblProducts[[#This Row],[Rating]]&lt;3,"Poor",IF(tblProducts[[#This Row],[Rating]]&lt;=4.5,"Average","Excellent")))</f>
        <v>Missing</v>
      </c>
      <c r="H57" t="str">
        <f>IF(tblProducts[[#This Row],[Discount]]="","Missing",IF(tblProducts[[#This Row],[Discount]]&lt;20%,"Low Discount",IF(tblProducts[[#This Row],[Discount]]&lt;=40%,"Medium Discount","High Discount")))</f>
        <v>High Discount</v>
      </c>
      <c r="I57" s="2">
        <f>tblProducts[[#This Row],[old price (Ksh)]]-tblProducts[[#This Row],[Current price (Ksh)]]</f>
        <v>401</v>
      </c>
      <c r="J57" t="str">
        <f>IF(tblProducts[[#This Row],[Rating]]="","",tblProducts[[#This Row],[Rating]]+tblProducts[[#This Row],[Review]]/1000000+ROW()/100000000)</f>
        <v/>
      </c>
      <c r="K57" s="11" t="str">
        <f>IF(tblProducts[[#This Row],[Review]]="","",tblProducts[[#This Row],[Review]]+tblProducts[[#This Row],[Rating]]/1000)</f>
        <v/>
      </c>
      <c r="L57" s="11">
        <f>IF(tblProducts[[#This Row],[Discount]]="","",tblProducts[[#This Row],[Discount]]+tblProducts[[#This Row],[Review]]/1000000)</f>
        <v>0.45</v>
      </c>
    </row>
    <row r="58" spans="1:12" x14ac:dyDescent="0.35">
      <c r="A58" t="s">
        <v>173</v>
      </c>
      <c r="B58" s="2">
        <v>699</v>
      </c>
      <c r="C58" s="2">
        <v>1343</v>
      </c>
      <c r="D58" s="3">
        <v>0.48</v>
      </c>
      <c r="F58" t="s">
        <v>369</v>
      </c>
      <c r="G58" t="str">
        <f>IF(tblProducts[[#This Row],[Rating]]="","Missing",IF(tblProducts[[#This Row],[Rating]]&lt;3,"Poor",IF(tblProducts[[#This Row],[Rating]]&lt;=4.5,"Average","Excellent")))</f>
        <v>Missing</v>
      </c>
      <c r="H58" t="str">
        <f>IF(tblProducts[[#This Row],[Discount]]="","Missing",IF(tblProducts[[#This Row],[Discount]]&lt;20%,"Low Discount",IF(tblProducts[[#This Row],[Discount]]&lt;=40%,"Medium Discount","High Discount")))</f>
        <v>High Discount</v>
      </c>
      <c r="I58" s="2">
        <f>tblProducts[[#This Row],[old price (Ksh)]]-tblProducts[[#This Row],[Current price (Ksh)]]</f>
        <v>644</v>
      </c>
      <c r="J58" t="str">
        <f>IF(tblProducts[[#This Row],[Rating]]="","",tblProducts[[#This Row],[Rating]]+tblProducts[[#This Row],[Review]]/1000000+ROW()/100000000)</f>
        <v/>
      </c>
      <c r="K58" s="11" t="str">
        <f>IF(tblProducts[[#This Row],[Review]]="","",tblProducts[[#This Row],[Review]]+tblProducts[[#This Row],[Rating]]/1000)</f>
        <v/>
      </c>
      <c r="L58" s="11">
        <f>IF(tblProducts[[#This Row],[Discount]]="","",tblProducts[[#This Row],[Discount]]+tblProducts[[#This Row],[Review]]/1000000)</f>
        <v>0.48</v>
      </c>
    </row>
    <row r="59" spans="1:12" x14ac:dyDescent="0.35">
      <c r="A59" t="s">
        <v>175</v>
      </c>
      <c r="B59" s="2">
        <v>799</v>
      </c>
      <c r="C59" s="2">
        <v>1567</v>
      </c>
      <c r="D59" s="3">
        <v>0.49</v>
      </c>
      <c r="F59" t="s">
        <v>369</v>
      </c>
      <c r="G59" t="str">
        <f>IF(tblProducts[[#This Row],[Rating]]="","Missing",IF(tblProducts[[#This Row],[Rating]]&lt;3,"Poor",IF(tblProducts[[#This Row],[Rating]]&lt;=4.5,"Average","Excellent")))</f>
        <v>Missing</v>
      </c>
      <c r="H59" t="str">
        <f>IF(tblProducts[[#This Row],[Discount]]="","Missing",IF(tblProducts[[#This Row],[Discount]]&lt;20%,"Low Discount",IF(tblProducts[[#This Row],[Discount]]&lt;=40%,"Medium Discount","High Discount")))</f>
        <v>High Discount</v>
      </c>
      <c r="I59" s="2">
        <f>tblProducts[[#This Row],[old price (Ksh)]]-tblProducts[[#This Row],[Current price (Ksh)]]</f>
        <v>768</v>
      </c>
      <c r="J59" t="str">
        <f>IF(tblProducts[[#This Row],[Rating]]="","",tblProducts[[#This Row],[Rating]]+tblProducts[[#This Row],[Review]]/1000000+ROW()/100000000)</f>
        <v/>
      </c>
      <c r="K59" s="11" t="str">
        <f>IF(tblProducts[[#This Row],[Review]]="","",tblProducts[[#This Row],[Review]]+tblProducts[[#This Row],[Rating]]/1000)</f>
        <v/>
      </c>
      <c r="L59" s="11">
        <f>IF(tblProducts[[#This Row],[Discount]]="","",tblProducts[[#This Row],[Discount]]+tblProducts[[#This Row],[Review]]/1000000)</f>
        <v>0.49</v>
      </c>
    </row>
    <row r="60" spans="1:12" x14ac:dyDescent="0.35">
      <c r="A60" t="s">
        <v>366</v>
      </c>
      <c r="B60" s="2">
        <v>2799</v>
      </c>
      <c r="C60" s="2">
        <v>3810</v>
      </c>
      <c r="D60" s="3">
        <v>0.27</v>
      </c>
      <c r="F60" t="s">
        <v>369</v>
      </c>
      <c r="G60" t="str">
        <f>IF(tblProducts[[#This Row],[Rating]]="","Missing",IF(tblProducts[[#This Row],[Rating]]&lt;3,"Poor",IF(tblProducts[[#This Row],[Rating]]&lt;=4.5,"Average","Excellent")))</f>
        <v>Missing</v>
      </c>
      <c r="H60" t="str">
        <f>IF(tblProducts[[#This Row],[Discount]]="","Missing",IF(tblProducts[[#This Row],[Discount]]&lt;20%,"Low Discount",IF(tblProducts[[#This Row],[Discount]]&lt;=40%,"Medium Discount","High Discount")))</f>
        <v>Medium Discount</v>
      </c>
      <c r="I60" s="2">
        <f>tblProducts[[#This Row],[old price (Ksh)]]-tblProducts[[#This Row],[Current price (Ksh)]]</f>
        <v>1011</v>
      </c>
      <c r="J60" t="str">
        <f>IF(tblProducts[[#This Row],[Rating]]="","",tblProducts[[#This Row],[Rating]]+tblProducts[[#This Row],[Review]]/1000000+ROW()/100000000)</f>
        <v/>
      </c>
      <c r="K60" s="11" t="str">
        <f>IF(tblProducts[[#This Row],[Review]]="","",tblProducts[[#This Row],[Review]]+tblProducts[[#This Row],[Rating]]/1000)</f>
        <v/>
      </c>
      <c r="L60" s="11">
        <f>IF(tblProducts[[#This Row],[Discount]]="","",tblProducts[[#This Row],[Discount]]+tblProducts[[#This Row],[Review]]/1000000)</f>
        <v>0.27</v>
      </c>
    </row>
    <row r="61" spans="1:12" x14ac:dyDescent="0.35">
      <c r="A61" t="s">
        <v>170</v>
      </c>
      <c r="B61" s="2">
        <v>399</v>
      </c>
      <c r="C61" s="2">
        <v>896</v>
      </c>
      <c r="D61" s="3">
        <v>0.55000000000000004</v>
      </c>
      <c r="F61" t="s">
        <v>369</v>
      </c>
      <c r="G61" t="str">
        <f>IF(tblProducts[[#This Row],[Rating]]="","Missing",IF(tblProducts[[#This Row],[Rating]]&lt;3,"Poor",IF(tblProducts[[#This Row],[Rating]]&lt;=4.5,"Average","Excellent")))</f>
        <v>Missing</v>
      </c>
      <c r="H61" t="str">
        <f>IF(tblProducts[[#This Row],[Discount]]="","Missing",IF(tblProducts[[#This Row],[Discount]]&lt;20%,"Low Discount",IF(tblProducts[[#This Row],[Discount]]&lt;=40%,"Medium Discount","High Discount")))</f>
        <v>High Discount</v>
      </c>
      <c r="I61" s="2">
        <f>tblProducts[[#This Row],[old price (Ksh)]]-tblProducts[[#This Row],[Current price (Ksh)]]</f>
        <v>497</v>
      </c>
      <c r="J61" t="str">
        <f>IF(tblProducts[[#This Row],[Rating]]="","",tblProducts[[#This Row],[Rating]]+tblProducts[[#This Row],[Review]]/1000000+ROW()/100000000)</f>
        <v/>
      </c>
      <c r="K61" s="11" t="str">
        <f>IF(tblProducts[[#This Row],[Review]]="","",tblProducts[[#This Row],[Review]]+tblProducts[[#This Row],[Rating]]/1000)</f>
        <v/>
      </c>
      <c r="L61" s="11">
        <f>IF(tblProducts[[#This Row],[Discount]]="","",tblProducts[[#This Row],[Discount]]+tblProducts[[#This Row],[Review]]/1000000)</f>
        <v>0.55000000000000004</v>
      </c>
    </row>
    <row r="62" spans="1:12" x14ac:dyDescent="0.35">
      <c r="A62" t="s">
        <v>339</v>
      </c>
      <c r="B62" s="2">
        <v>2170</v>
      </c>
      <c r="C62" s="2">
        <v>2500</v>
      </c>
      <c r="D62" s="3">
        <v>0.13</v>
      </c>
      <c r="E62" s="4">
        <v>6</v>
      </c>
      <c r="F62">
        <v>2.5</v>
      </c>
      <c r="G62" t="str">
        <f>IF(tblProducts[[#This Row],[Rating]]="","Missing",IF(tblProducts[[#This Row],[Rating]]&lt;3,"Poor",IF(tblProducts[[#This Row],[Rating]]&lt;=4.5,"Average","Excellent")))</f>
        <v>Poor</v>
      </c>
      <c r="H62" t="str">
        <f>IF(tblProducts[[#This Row],[Discount]]="","Missing",IF(tblProducts[[#This Row],[Discount]]&lt;20%,"Low Discount",IF(tblProducts[[#This Row],[Discount]]&lt;=40%,"Medium Discount","High Discount")))</f>
        <v>Low Discount</v>
      </c>
      <c r="I62" s="2">
        <f>tblProducts[[#This Row],[old price (Ksh)]]-tblProducts[[#This Row],[Current price (Ksh)]]</f>
        <v>330</v>
      </c>
      <c r="J62">
        <f>IF(tblProducts[[#This Row],[Rating]]="","",tblProducts[[#This Row],[Rating]]+tblProducts[[#This Row],[Review]]/1000000+ROW()/100000000)</f>
        <v>2.5000066199999997</v>
      </c>
      <c r="K62" s="11">
        <f>IF(tblProducts[[#This Row],[Review]]="","",tblProducts[[#This Row],[Review]]+tblProducts[[#This Row],[Rating]]/1000)</f>
        <v>6.0025000000000004</v>
      </c>
      <c r="L62" s="11">
        <f>IF(tblProducts[[#This Row],[Discount]]="","",tblProducts[[#This Row],[Discount]]+tblProducts[[#This Row],[Review]]/1000000)</f>
        <v>0.13000600000000001</v>
      </c>
    </row>
    <row r="63" spans="1:12" x14ac:dyDescent="0.35">
      <c r="A63" t="s">
        <v>340</v>
      </c>
      <c r="B63" s="2">
        <v>458</v>
      </c>
      <c r="C63" s="2">
        <v>986</v>
      </c>
      <c r="D63" s="3">
        <v>0.54</v>
      </c>
      <c r="E63" s="4">
        <v>10</v>
      </c>
      <c r="F63">
        <v>3</v>
      </c>
      <c r="G63" t="str">
        <f>IF(tblProducts[[#This Row],[Rating]]="","Missing",IF(tblProducts[[#This Row],[Rating]]&lt;3,"Poor",IF(tblProducts[[#This Row],[Rating]]&lt;=4.5,"Average","Excellent")))</f>
        <v>Average</v>
      </c>
      <c r="H63" t="str">
        <f>IF(tblProducts[[#This Row],[Discount]]="","Missing",IF(tblProducts[[#This Row],[Discount]]&lt;20%,"Low Discount",IF(tblProducts[[#This Row],[Discount]]&lt;=40%,"Medium Discount","High Discount")))</f>
        <v>High Discount</v>
      </c>
      <c r="I63" s="2">
        <f>tblProducts[[#This Row],[old price (Ksh)]]-tblProducts[[#This Row],[Current price (Ksh)]]</f>
        <v>528</v>
      </c>
      <c r="J63">
        <f>IF(tblProducts[[#This Row],[Rating]]="","",tblProducts[[#This Row],[Rating]]+tblProducts[[#This Row],[Review]]/1000000+ROW()/100000000)</f>
        <v>3.0000106300000002</v>
      </c>
      <c r="K63" s="11">
        <f>IF(tblProducts[[#This Row],[Review]]="","",tblProducts[[#This Row],[Review]]+tblProducts[[#This Row],[Rating]]/1000)</f>
        <v>10.003</v>
      </c>
      <c r="L63" s="11">
        <f>IF(tblProducts[[#This Row],[Discount]]="","",tblProducts[[#This Row],[Discount]]+tblProducts[[#This Row],[Review]]/1000000)</f>
        <v>0.54000999999999999</v>
      </c>
    </row>
    <row r="64" spans="1:12" x14ac:dyDescent="0.35">
      <c r="A64" t="s">
        <v>341</v>
      </c>
      <c r="B64" s="2">
        <v>2115</v>
      </c>
      <c r="C64" s="2">
        <v>4700</v>
      </c>
      <c r="D64" s="3">
        <v>0.55000000000000004</v>
      </c>
      <c r="E64" s="4">
        <v>13</v>
      </c>
      <c r="F64">
        <v>2.1</v>
      </c>
      <c r="G64" t="str">
        <f>IF(tblProducts[[#This Row],[Rating]]="","Missing",IF(tblProducts[[#This Row],[Rating]]&lt;3,"Poor",IF(tblProducts[[#This Row],[Rating]]&lt;=4.5,"Average","Excellent")))</f>
        <v>Poor</v>
      </c>
      <c r="H64" t="str">
        <f>IF(tblProducts[[#This Row],[Discount]]="","Missing",IF(tblProducts[[#This Row],[Discount]]&lt;20%,"Low Discount",IF(tblProducts[[#This Row],[Discount]]&lt;=40%,"Medium Discount","High Discount")))</f>
        <v>High Discount</v>
      </c>
      <c r="I64" s="2">
        <f>tblProducts[[#This Row],[old price (Ksh)]]-tblProducts[[#This Row],[Current price (Ksh)]]</f>
        <v>2585</v>
      </c>
      <c r="J64">
        <f>IF(tblProducts[[#This Row],[Rating]]="","",tblProducts[[#This Row],[Rating]]+tblProducts[[#This Row],[Review]]/1000000+ROW()/100000000)</f>
        <v>2.1000136400000002</v>
      </c>
      <c r="K64" s="11">
        <f>IF(tblProducts[[#This Row],[Review]]="","",tblProducts[[#This Row],[Review]]+tblProducts[[#This Row],[Rating]]/1000)</f>
        <v>13.0021</v>
      </c>
      <c r="L64" s="11">
        <f>IF(tblProducts[[#This Row],[Discount]]="","",tblProducts[[#This Row],[Discount]]+tblProducts[[#This Row],[Review]]/1000000)</f>
        <v>0.55001300000000009</v>
      </c>
    </row>
    <row r="65" spans="1:12" x14ac:dyDescent="0.35">
      <c r="A65" t="s">
        <v>194</v>
      </c>
      <c r="B65" s="2">
        <v>445</v>
      </c>
      <c r="C65" s="2">
        <v>873</v>
      </c>
      <c r="D65" s="3">
        <v>0.49</v>
      </c>
      <c r="E65" s="4">
        <v>69</v>
      </c>
      <c r="F65">
        <v>2.8</v>
      </c>
      <c r="G65" t="str">
        <f>IF(tblProducts[[#This Row],[Rating]]="","Missing",IF(tblProducts[[#This Row],[Rating]]&lt;3,"Poor",IF(tblProducts[[#This Row],[Rating]]&lt;=4.5,"Average","Excellent")))</f>
        <v>Poor</v>
      </c>
      <c r="H65" t="str">
        <f>IF(tblProducts[[#This Row],[Discount]]="","Missing",IF(tblProducts[[#This Row],[Discount]]&lt;20%,"Low Discount",IF(tblProducts[[#This Row],[Discount]]&lt;=40%,"Medium Discount","High Discount")))</f>
        <v>High Discount</v>
      </c>
      <c r="I65" s="2">
        <f>tblProducts[[#This Row],[old price (Ksh)]]-tblProducts[[#This Row],[Current price (Ksh)]]</f>
        <v>428</v>
      </c>
      <c r="J65">
        <f>IF(tblProducts[[#This Row],[Rating]]="","",tblProducts[[#This Row],[Rating]]+tblProducts[[#This Row],[Review]]/1000000+ROW()/100000000)</f>
        <v>2.8000696499999997</v>
      </c>
      <c r="K65" s="11">
        <f>IF(tblProducts[[#This Row],[Review]]="","",tblProducts[[#This Row],[Review]]+tblProducts[[#This Row],[Rating]]/1000)</f>
        <v>69.002799999999993</v>
      </c>
      <c r="L65" s="11">
        <f>IF(tblProducts[[#This Row],[Discount]]="","",tblProducts[[#This Row],[Discount]]+tblProducts[[#This Row],[Review]]/1000000)</f>
        <v>0.49006899999999998</v>
      </c>
    </row>
    <row r="66" spans="1:12" x14ac:dyDescent="0.35">
      <c r="A66" t="s">
        <v>360</v>
      </c>
      <c r="B66" s="2">
        <v>325</v>
      </c>
      <c r="C66" s="2">
        <v>680</v>
      </c>
      <c r="D66" s="3">
        <v>0.52</v>
      </c>
      <c r="E66" s="4">
        <v>15</v>
      </c>
      <c r="F66">
        <v>2.7</v>
      </c>
      <c r="G66" t="str">
        <f>IF(tblProducts[[#This Row],[Rating]]="","Missing",IF(tblProducts[[#This Row],[Rating]]&lt;3,"Poor",IF(tblProducts[[#This Row],[Rating]]&lt;=4.5,"Average","Excellent")))</f>
        <v>Poor</v>
      </c>
      <c r="H66" t="str">
        <f>IF(tblProducts[[#This Row],[Discount]]="","Missing",IF(tblProducts[[#This Row],[Discount]]&lt;20%,"Low Discount",IF(tblProducts[[#This Row],[Discount]]&lt;=40%,"Medium Discount","High Discount")))</f>
        <v>High Discount</v>
      </c>
      <c r="I66" s="2">
        <f>tblProducts[[#This Row],[old price (Ksh)]]-tblProducts[[#This Row],[Current price (Ksh)]]</f>
        <v>355</v>
      </c>
      <c r="J66">
        <f>IF(tblProducts[[#This Row],[Rating]]="","",tblProducts[[#This Row],[Rating]]+tblProducts[[#This Row],[Review]]/1000000+ROW()/100000000)</f>
        <v>2.70001566</v>
      </c>
      <c r="K66" s="11">
        <f>IF(tblProducts[[#This Row],[Review]]="","",tblProducts[[#This Row],[Review]]+tblProducts[[#This Row],[Rating]]/1000)</f>
        <v>15.002700000000001</v>
      </c>
      <c r="L66" s="11">
        <f>IF(tblProducts[[#This Row],[Discount]]="","",tblProducts[[#This Row],[Discount]]+tblProducts[[#This Row],[Review]]/1000000)</f>
        <v>0.52001500000000001</v>
      </c>
    </row>
    <row r="67" spans="1:12" x14ac:dyDescent="0.35">
      <c r="A67" t="s">
        <v>342</v>
      </c>
      <c r="B67" s="2">
        <v>1220</v>
      </c>
      <c r="C67" s="2">
        <v>1555</v>
      </c>
      <c r="D67" s="3">
        <v>0.22</v>
      </c>
      <c r="E67" s="4">
        <v>16</v>
      </c>
      <c r="F67">
        <v>2.9</v>
      </c>
      <c r="G67" t="str">
        <f>IF(tblProducts[[#This Row],[Rating]]="","Missing",IF(tblProducts[[#This Row],[Rating]]&lt;3,"Poor",IF(tblProducts[[#This Row],[Rating]]&lt;=4.5,"Average","Excellent")))</f>
        <v>Poor</v>
      </c>
      <c r="H67" t="str">
        <f>IF(tblProducts[[#This Row],[Discount]]="","Missing",IF(tblProducts[[#This Row],[Discount]]&lt;20%,"Low Discount",IF(tblProducts[[#This Row],[Discount]]&lt;=40%,"Medium Discount","High Discount")))</f>
        <v>Medium Discount</v>
      </c>
      <c r="I67" s="2">
        <f>tblProducts[[#This Row],[old price (Ksh)]]-tblProducts[[#This Row],[Current price (Ksh)]]</f>
        <v>335</v>
      </c>
      <c r="J67">
        <f>IF(tblProducts[[#This Row],[Rating]]="","",tblProducts[[#This Row],[Rating]]+tblProducts[[#This Row],[Review]]/1000000+ROW()/100000000)</f>
        <v>2.9000166699999999</v>
      </c>
      <c r="K67" s="11">
        <f>IF(tblProducts[[#This Row],[Review]]="","",tblProducts[[#This Row],[Review]]+tblProducts[[#This Row],[Rating]]/1000)</f>
        <v>16.0029</v>
      </c>
      <c r="L67" s="11">
        <f>IF(tblProducts[[#This Row],[Discount]]="","",tblProducts[[#This Row],[Discount]]+tblProducts[[#This Row],[Review]]/1000000)</f>
        <v>0.22001599999999999</v>
      </c>
    </row>
    <row r="68" spans="1:12" x14ac:dyDescent="0.35">
      <c r="A68" t="s">
        <v>206</v>
      </c>
      <c r="B68" s="2">
        <v>990</v>
      </c>
      <c r="C68" s="2">
        <v>1814</v>
      </c>
      <c r="D68" s="3">
        <v>0.45</v>
      </c>
      <c r="E68" s="4">
        <v>6</v>
      </c>
      <c r="F68">
        <v>2.2000000000000002</v>
      </c>
      <c r="G68" t="str">
        <f>IF(tblProducts[[#This Row],[Rating]]="","Missing",IF(tblProducts[[#This Row],[Rating]]&lt;3,"Poor",IF(tblProducts[[#This Row],[Rating]]&lt;=4.5,"Average","Excellent")))</f>
        <v>Poor</v>
      </c>
      <c r="H68" t="str">
        <f>IF(tblProducts[[#This Row],[Discount]]="","Missing",IF(tblProducts[[#This Row],[Discount]]&lt;20%,"Low Discount",IF(tblProducts[[#This Row],[Discount]]&lt;=40%,"Medium Discount","High Discount")))</f>
        <v>High Discount</v>
      </c>
      <c r="I68" s="2">
        <f>tblProducts[[#This Row],[old price (Ksh)]]-tblProducts[[#This Row],[Current price (Ksh)]]</f>
        <v>824</v>
      </c>
      <c r="J68">
        <f>IF(tblProducts[[#This Row],[Rating]]="","",tblProducts[[#This Row],[Rating]]+tblProducts[[#This Row],[Review]]/1000000+ROW()/100000000)</f>
        <v>2.20000668</v>
      </c>
      <c r="K68" s="11">
        <f>IF(tblProducts[[#This Row],[Review]]="","",tblProducts[[#This Row],[Review]]+tblProducts[[#This Row],[Rating]]/1000)</f>
        <v>6.0022000000000002</v>
      </c>
      <c r="L68" s="11">
        <f>IF(tblProducts[[#This Row],[Discount]]="","",tblProducts[[#This Row],[Discount]]+tblProducts[[#This Row],[Review]]/1000000)</f>
        <v>0.45000600000000002</v>
      </c>
    </row>
    <row r="69" spans="1:12" x14ac:dyDescent="0.35">
      <c r="A69" t="s">
        <v>358</v>
      </c>
      <c r="B69" s="2">
        <v>1000</v>
      </c>
      <c r="C69" s="2">
        <v>2000</v>
      </c>
      <c r="D69" s="3">
        <v>0.5</v>
      </c>
      <c r="E69" s="4">
        <v>7</v>
      </c>
      <c r="F69">
        <v>2.2999999999999998</v>
      </c>
      <c r="G69" t="str">
        <f>IF(tblProducts[[#This Row],[Rating]]="","Missing",IF(tblProducts[[#This Row],[Rating]]&lt;3,"Poor",IF(tblProducts[[#This Row],[Rating]]&lt;=4.5,"Average","Excellent")))</f>
        <v>Poor</v>
      </c>
      <c r="H69" t="str">
        <f>IF(tblProducts[[#This Row],[Discount]]="","Missing",IF(tblProducts[[#This Row],[Discount]]&lt;20%,"Low Discount",IF(tblProducts[[#This Row],[Discount]]&lt;=40%,"Medium Discount","High Discount")))</f>
        <v>High Discount</v>
      </c>
      <c r="I69" s="2">
        <f>tblProducts[[#This Row],[old price (Ksh)]]-tblProducts[[#This Row],[Current price (Ksh)]]</f>
        <v>1000</v>
      </c>
      <c r="J69">
        <f>IF(tblProducts[[#This Row],[Rating]]="","",tblProducts[[#This Row],[Rating]]+tblProducts[[#This Row],[Review]]/1000000+ROW()/100000000)</f>
        <v>2.3000076899999997</v>
      </c>
      <c r="K69" s="11">
        <f>IF(tblProducts[[#This Row],[Review]]="","",tblProducts[[#This Row],[Review]]+tblProducts[[#This Row],[Rating]]/1000)</f>
        <v>7.0023</v>
      </c>
      <c r="L69" s="11">
        <f>IF(tblProducts[[#This Row],[Discount]]="","",tblProducts[[#This Row],[Discount]]+tblProducts[[#This Row],[Review]]/1000000)</f>
        <v>0.50000699999999998</v>
      </c>
    </row>
    <row r="70" spans="1:12" x14ac:dyDescent="0.35">
      <c r="A70" t="s">
        <v>343</v>
      </c>
      <c r="B70" s="2">
        <v>3750</v>
      </c>
      <c r="C70" s="2">
        <v>6143</v>
      </c>
      <c r="D70" s="3">
        <v>0.39</v>
      </c>
      <c r="E70" s="4">
        <v>5</v>
      </c>
      <c r="F70">
        <v>3</v>
      </c>
      <c r="G70" t="str">
        <f>IF(tblProducts[[#This Row],[Rating]]="","Missing",IF(tblProducts[[#This Row],[Rating]]&lt;3,"Poor",IF(tblProducts[[#This Row],[Rating]]&lt;=4.5,"Average","Excellent")))</f>
        <v>Average</v>
      </c>
      <c r="H70" t="str">
        <f>IF(tblProducts[[#This Row],[Discount]]="","Missing",IF(tblProducts[[#This Row],[Discount]]&lt;20%,"Low Discount",IF(tblProducts[[#This Row],[Discount]]&lt;=40%,"Medium Discount","High Discount")))</f>
        <v>Medium Discount</v>
      </c>
      <c r="I70" s="2">
        <f>tblProducts[[#This Row],[old price (Ksh)]]-tblProducts[[#This Row],[Current price (Ksh)]]</f>
        <v>2393</v>
      </c>
      <c r="J70">
        <f>IF(tblProducts[[#This Row],[Rating]]="","",tblProducts[[#This Row],[Rating]]+tblProducts[[#This Row],[Review]]/1000000+ROW()/100000000)</f>
        <v>3.0000057</v>
      </c>
      <c r="K70" s="11">
        <f>IF(tblProducts[[#This Row],[Review]]="","",tblProducts[[#This Row],[Review]]+tblProducts[[#This Row],[Rating]]/1000)</f>
        <v>5.0030000000000001</v>
      </c>
      <c r="L70" s="11">
        <f>IF(tblProducts[[#This Row],[Discount]]="","",tblProducts[[#This Row],[Discount]]+tblProducts[[#This Row],[Review]]/1000000)</f>
        <v>0.39000499999999999</v>
      </c>
    </row>
    <row r="71" spans="1:12" x14ac:dyDescent="0.35">
      <c r="A71" t="s">
        <v>215</v>
      </c>
      <c r="B71" s="2">
        <v>382</v>
      </c>
      <c r="C71" s="2">
        <v>700</v>
      </c>
      <c r="D71" s="3">
        <v>0.45</v>
      </c>
      <c r="E71" s="4">
        <v>17</v>
      </c>
      <c r="F71">
        <v>2.6</v>
      </c>
      <c r="G71" t="str">
        <f>IF(tblProducts[[#This Row],[Rating]]="","Missing",IF(tblProducts[[#This Row],[Rating]]&lt;3,"Poor",IF(tblProducts[[#This Row],[Rating]]&lt;=4.5,"Average","Excellent")))</f>
        <v>Poor</v>
      </c>
      <c r="H71" t="str">
        <f>IF(tblProducts[[#This Row],[Discount]]="","Missing",IF(tblProducts[[#This Row],[Discount]]&lt;20%,"Low Discount",IF(tblProducts[[#This Row],[Discount]]&lt;=40%,"Medium Discount","High Discount")))</f>
        <v>High Discount</v>
      </c>
      <c r="I71" s="2">
        <f>tblProducts[[#This Row],[old price (Ksh)]]-tblProducts[[#This Row],[Current price (Ksh)]]</f>
        <v>318</v>
      </c>
      <c r="J71">
        <f>IF(tblProducts[[#This Row],[Rating]]="","",tblProducts[[#This Row],[Rating]]+tblProducts[[#This Row],[Review]]/1000000+ROW()/100000000)</f>
        <v>2.6000177100000004</v>
      </c>
      <c r="K71" s="11">
        <f>IF(tblProducts[[#This Row],[Review]]="","",tblProducts[[#This Row],[Review]]+tblProducts[[#This Row],[Rating]]/1000)</f>
        <v>17.002600000000001</v>
      </c>
      <c r="L71" s="11">
        <f>IF(tblProducts[[#This Row],[Discount]]="","",tblProducts[[#This Row],[Discount]]+tblProducts[[#This Row],[Review]]/1000000)</f>
        <v>0.450017</v>
      </c>
    </row>
    <row r="72" spans="1:12" x14ac:dyDescent="0.35">
      <c r="A72" t="s">
        <v>218</v>
      </c>
      <c r="B72" s="2">
        <v>2300</v>
      </c>
      <c r="C72" s="2">
        <v>3240</v>
      </c>
      <c r="D72" s="3">
        <v>0.28999999999999998</v>
      </c>
      <c r="E72" s="4">
        <v>5</v>
      </c>
      <c r="F72">
        <v>3</v>
      </c>
      <c r="G72" t="str">
        <f>IF(tblProducts[[#This Row],[Rating]]="","Missing",IF(tblProducts[[#This Row],[Rating]]&lt;3,"Poor",IF(tblProducts[[#This Row],[Rating]]&lt;=4.5,"Average","Excellent")))</f>
        <v>Average</v>
      </c>
      <c r="H72" t="str">
        <f>IF(tblProducts[[#This Row],[Discount]]="","Missing",IF(tblProducts[[#This Row],[Discount]]&lt;20%,"Low Discount",IF(tblProducts[[#This Row],[Discount]]&lt;=40%,"Medium Discount","High Discount")))</f>
        <v>Medium Discount</v>
      </c>
      <c r="I72" s="2">
        <f>tblProducts[[#This Row],[old price (Ksh)]]-tblProducts[[#This Row],[Current price (Ksh)]]</f>
        <v>940</v>
      </c>
      <c r="J72">
        <f>IF(tblProducts[[#This Row],[Rating]]="","",tblProducts[[#This Row],[Rating]]+tblProducts[[#This Row],[Review]]/1000000+ROW()/100000000)</f>
        <v>3.0000057199999999</v>
      </c>
      <c r="K72" s="11">
        <f>IF(tblProducts[[#This Row],[Review]]="","",tblProducts[[#This Row],[Review]]+tblProducts[[#This Row],[Rating]]/1000)</f>
        <v>5.0030000000000001</v>
      </c>
      <c r="L72" s="11">
        <f>IF(tblProducts[[#This Row],[Discount]]="","",tblProducts[[#This Row],[Discount]]+tblProducts[[#This Row],[Review]]/1000000)</f>
        <v>0.29000499999999996</v>
      </c>
    </row>
    <row r="73" spans="1:12" x14ac:dyDescent="0.35">
      <c r="A73" t="s">
        <v>221</v>
      </c>
      <c r="B73" s="2">
        <v>345</v>
      </c>
      <c r="C73" s="2">
        <v>602</v>
      </c>
      <c r="D73" s="3">
        <v>0.43</v>
      </c>
      <c r="E73" s="4">
        <v>6</v>
      </c>
      <c r="F73">
        <v>2.2999999999999998</v>
      </c>
      <c r="G73" t="str">
        <f>IF(tblProducts[[#This Row],[Rating]]="","Missing",IF(tblProducts[[#This Row],[Rating]]&lt;3,"Poor",IF(tblProducts[[#This Row],[Rating]]&lt;=4.5,"Average","Excellent")))</f>
        <v>Poor</v>
      </c>
      <c r="H73" t="str">
        <f>IF(tblProducts[[#This Row],[Discount]]="","Missing",IF(tblProducts[[#This Row],[Discount]]&lt;20%,"Low Discount",IF(tblProducts[[#This Row],[Discount]]&lt;=40%,"Medium Discount","High Discount")))</f>
        <v>High Discount</v>
      </c>
      <c r="I73" s="2">
        <f>tblProducts[[#This Row],[old price (Ksh)]]-tblProducts[[#This Row],[Current price (Ksh)]]</f>
        <v>257</v>
      </c>
      <c r="J73">
        <f>IF(tblProducts[[#This Row],[Rating]]="","",tblProducts[[#This Row],[Rating]]+tblProducts[[#This Row],[Review]]/1000000+ROW()/100000000)</f>
        <v>2.3000067299999998</v>
      </c>
      <c r="K73" s="11">
        <f>IF(tblProducts[[#This Row],[Review]]="","",tblProducts[[#This Row],[Review]]+tblProducts[[#This Row],[Rating]]/1000)</f>
        <v>6.0023</v>
      </c>
      <c r="L73" s="11">
        <f>IF(tblProducts[[#This Row],[Discount]]="","",tblProducts[[#This Row],[Discount]]+tblProducts[[#This Row],[Review]]/1000000)</f>
        <v>0.430006</v>
      </c>
    </row>
    <row r="74" spans="1:12" x14ac:dyDescent="0.35">
      <c r="A74" t="s">
        <v>224</v>
      </c>
      <c r="B74" s="2">
        <v>509</v>
      </c>
      <c r="C74" s="2">
        <v>899</v>
      </c>
      <c r="D74" s="3">
        <v>0.43</v>
      </c>
      <c r="E74" s="4">
        <v>5</v>
      </c>
      <c r="F74">
        <v>3</v>
      </c>
      <c r="G74" t="str">
        <f>IF(tblProducts[[#This Row],[Rating]]="","Missing",IF(tblProducts[[#This Row],[Rating]]&lt;3,"Poor",IF(tblProducts[[#This Row],[Rating]]&lt;=4.5,"Average","Excellent")))</f>
        <v>Average</v>
      </c>
      <c r="H74" t="str">
        <f>IF(tblProducts[[#This Row],[Discount]]="","Missing",IF(tblProducts[[#This Row],[Discount]]&lt;20%,"Low Discount",IF(tblProducts[[#This Row],[Discount]]&lt;=40%,"Medium Discount","High Discount")))</f>
        <v>High Discount</v>
      </c>
      <c r="I74" s="2">
        <f>tblProducts[[#This Row],[old price (Ksh)]]-tblProducts[[#This Row],[Current price (Ksh)]]</f>
        <v>390</v>
      </c>
      <c r="J74">
        <f>IF(tblProducts[[#This Row],[Rating]]="","",tblProducts[[#This Row],[Rating]]+tblProducts[[#This Row],[Review]]/1000000+ROW()/100000000)</f>
        <v>3.0000057399999998</v>
      </c>
      <c r="K74" s="11">
        <f>IF(tblProducts[[#This Row],[Review]]="","",tblProducts[[#This Row],[Review]]+tblProducts[[#This Row],[Rating]]/1000)</f>
        <v>5.0030000000000001</v>
      </c>
      <c r="L74" s="11">
        <f>IF(tblProducts[[#This Row],[Discount]]="","",tblProducts[[#This Row],[Discount]]+tblProducts[[#This Row],[Review]]/1000000)</f>
        <v>0.43000499999999997</v>
      </c>
    </row>
    <row r="75" spans="1:12" x14ac:dyDescent="0.35">
      <c r="A75" t="s">
        <v>344</v>
      </c>
      <c r="B75" s="2">
        <v>968</v>
      </c>
      <c r="C75" s="2">
        <v>1814</v>
      </c>
      <c r="D75" s="3">
        <v>0.47</v>
      </c>
      <c r="E75" s="4">
        <v>6</v>
      </c>
      <c r="F75">
        <v>2.2000000000000002</v>
      </c>
      <c r="G75" t="str">
        <f>IF(tblProducts[[#This Row],[Rating]]="","Missing",IF(tblProducts[[#This Row],[Rating]]&lt;3,"Poor",IF(tblProducts[[#This Row],[Rating]]&lt;=4.5,"Average","Excellent")))</f>
        <v>Poor</v>
      </c>
      <c r="H75" t="str">
        <f>IF(tblProducts[[#This Row],[Discount]]="","Missing",IF(tblProducts[[#This Row],[Discount]]&lt;20%,"Low Discount",IF(tblProducts[[#This Row],[Discount]]&lt;=40%,"Medium Discount","High Discount")))</f>
        <v>High Discount</v>
      </c>
      <c r="I75" s="2">
        <f>tblProducts[[#This Row],[old price (Ksh)]]-tblProducts[[#This Row],[Current price (Ksh)]]</f>
        <v>846</v>
      </c>
      <c r="J75">
        <f>IF(tblProducts[[#This Row],[Rating]]="","",tblProducts[[#This Row],[Rating]]+tblProducts[[#This Row],[Review]]/1000000+ROW()/100000000)</f>
        <v>2.20000675</v>
      </c>
      <c r="K75" s="11">
        <f>IF(tblProducts[[#This Row],[Review]]="","",tblProducts[[#This Row],[Review]]+tblProducts[[#This Row],[Rating]]/1000)</f>
        <v>6.0022000000000002</v>
      </c>
      <c r="L75" s="11">
        <f>IF(tblProducts[[#This Row],[Discount]]="","",tblProducts[[#This Row],[Discount]]+tblProducts[[#This Row],[Review]]/1000000)</f>
        <v>0.47000599999999998</v>
      </c>
    </row>
    <row r="76" spans="1:12" x14ac:dyDescent="0.35">
      <c r="A76" t="s">
        <v>229</v>
      </c>
      <c r="B76" s="2">
        <v>1570</v>
      </c>
      <c r="C76" s="2">
        <v>2988</v>
      </c>
      <c r="D76" s="3">
        <v>0.47</v>
      </c>
      <c r="E76" s="4">
        <v>7</v>
      </c>
      <c r="F76">
        <v>2.1</v>
      </c>
      <c r="G76" t="str">
        <f>IF(tblProducts[[#This Row],[Rating]]="","Missing",IF(tblProducts[[#This Row],[Rating]]&lt;3,"Poor",IF(tblProducts[[#This Row],[Rating]]&lt;=4.5,"Average","Excellent")))</f>
        <v>Poor</v>
      </c>
      <c r="H76" t="str">
        <f>IF(tblProducts[[#This Row],[Discount]]="","Missing",IF(tblProducts[[#This Row],[Discount]]&lt;20%,"Low Discount",IF(tblProducts[[#This Row],[Discount]]&lt;=40%,"Medium Discount","High Discount")))</f>
        <v>High Discount</v>
      </c>
      <c r="I76" s="2">
        <f>tblProducts[[#This Row],[old price (Ksh)]]-tblProducts[[#This Row],[Current price (Ksh)]]</f>
        <v>1418</v>
      </c>
      <c r="J76">
        <f>IF(tblProducts[[#This Row],[Rating]]="","",tblProducts[[#This Row],[Rating]]+tblProducts[[#This Row],[Review]]/1000000+ROW()/100000000)</f>
        <v>2.10000776</v>
      </c>
      <c r="K76" s="11">
        <f>IF(tblProducts[[#This Row],[Review]]="","",tblProducts[[#This Row],[Review]]+tblProducts[[#This Row],[Rating]]/1000)</f>
        <v>7.0021000000000004</v>
      </c>
      <c r="L76" s="11">
        <f>IF(tblProducts[[#This Row],[Discount]]="","",tblProducts[[#This Row],[Discount]]+tblProducts[[#This Row],[Review]]/1000000)</f>
        <v>0.47000699999999995</v>
      </c>
    </row>
    <row r="77" spans="1:12" x14ac:dyDescent="0.35">
      <c r="A77" t="s">
        <v>361</v>
      </c>
      <c r="B77" s="2">
        <v>790</v>
      </c>
      <c r="C77" s="2">
        <v>1485</v>
      </c>
      <c r="D77" s="3">
        <v>0.47</v>
      </c>
      <c r="F77" t="s">
        <v>369</v>
      </c>
      <c r="G77" t="str">
        <f>IF(tblProducts[[#This Row],[Rating]]="","Missing",IF(tblProducts[[#This Row],[Rating]]&lt;3,"Poor",IF(tblProducts[[#This Row],[Rating]]&lt;=4.5,"Average","Excellent")))</f>
        <v>Missing</v>
      </c>
      <c r="H77" t="str">
        <f>IF(tblProducts[[#This Row],[Discount]]="","Missing",IF(tblProducts[[#This Row],[Discount]]&lt;20%,"Low Discount",IF(tblProducts[[#This Row],[Discount]]&lt;=40%,"Medium Discount","High Discount")))</f>
        <v>High Discount</v>
      </c>
      <c r="I77" s="2">
        <f>tblProducts[[#This Row],[old price (Ksh)]]-tblProducts[[#This Row],[Current price (Ksh)]]</f>
        <v>695</v>
      </c>
      <c r="J77" t="str">
        <f>IF(tblProducts[[#This Row],[Rating]]="","",tblProducts[[#This Row],[Rating]]+tblProducts[[#This Row],[Review]]/1000000+ROW()/100000000)</f>
        <v/>
      </c>
      <c r="K77" s="11" t="str">
        <f>IF(tblProducts[[#This Row],[Review]]="","",tblProducts[[#This Row],[Review]]+tblProducts[[#This Row],[Rating]]/1000)</f>
        <v/>
      </c>
      <c r="L77" s="11">
        <f>IF(tblProducts[[#This Row],[Discount]]="","",tblProducts[[#This Row],[Discount]]+tblProducts[[#This Row],[Review]]/1000000)</f>
        <v>0.47</v>
      </c>
    </row>
    <row r="78" spans="1:12" x14ac:dyDescent="0.35">
      <c r="A78" t="s">
        <v>345</v>
      </c>
      <c r="B78" s="2">
        <v>690</v>
      </c>
      <c r="C78" s="2">
        <v>1200</v>
      </c>
      <c r="D78" s="3">
        <v>0.43</v>
      </c>
      <c r="F78" t="s">
        <v>369</v>
      </c>
      <c r="G78" t="str">
        <f>IF(tblProducts[[#This Row],[Rating]]="","Missing",IF(tblProducts[[#This Row],[Rating]]&lt;3,"Poor",IF(tblProducts[[#This Row],[Rating]]&lt;=4.5,"Average","Excellent")))</f>
        <v>Missing</v>
      </c>
      <c r="H78" t="str">
        <f>IF(tblProducts[[#This Row],[Discount]]="","Missing",IF(tblProducts[[#This Row],[Discount]]&lt;20%,"Low Discount",IF(tblProducts[[#This Row],[Discount]]&lt;=40%,"Medium Discount","High Discount")))</f>
        <v>High Discount</v>
      </c>
      <c r="I78" s="2">
        <f>tblProducts[[#This Row],[old price (Ksh)]]-tblProducts[[#This Row],[Current price (Ksh)]]</f>
        <v>510</v>
      </c>
      <c r="J78" t="str">
        <f>IF(tblProducts[[#This Row],[Rating]]="","",tblProducts[[#This Row],[Rating]]+tblProducts[[#This Row],[Review]]/1000000+ROW()/100000000)</f>
        <v/>
      </c>
      <c r="K78" s="11" t="str">
        <f>IF(tblProducts[[#This Row],[Review]]="","",tblProducts[[#This Row],[Review]]+tblProducts[[#This Row],[Rating]]/1000)</f>
        <v/>
      </c>
      <c r="L78" s="11">
        <f>IF(tblProducts[[#This Row],[Discount]]="","",tblProducts[[#This Row],[Discount]]+tblProducts[[#This Row],[Review]]/1000000)</f>
        <v>0.43</v>
      </c>
    </row>
    <row r="79" spans="1:12" x14ac:dyDescent="0.35">
      <c r="A79" t="s">
        <v>237</v>
      </c>
      <c r="B79" s="2">
        <v>1732</v>
      </c>
      <c r="C79" s="2">
        <v>1799</v>
      </c>
      <c r="D79" s="3">
        <v>0.04</v>
      </c>
      <c r="F79" t="s">
        <v>369</v>
      </c>
      <c r="G79" t="str">
        <f>IF(tblProducts[[#This Row],[Rating]]="","Missing",IF(tblProducts[[#This Row],[Rating]]&lt;3,"Poor",IF(tblProducts[[#This Row],[Rating]]&lt;=4.5,"Average","Excellent")))</f>
        <v>Missing</v>
      </c>
      <c r="H79" t="str">
        <f>IF(tblProducts[[#This Row],[Discount]]="","Missing",IF(tblProducts[[#This Row],[Discount]]&lt;20%,"Low Discount",IF(tblProducts[[#This Row],[Discount]]&lt;=40%,"Medium Discount","High Discount")))</f>
        <v>Low Discount</v>
      </c>
      <c r="I79" s="2">
        <f>tblProducts[[#This Row],[old price (Ksh)]]-tblProducts[[#This Row],[Current price (Ksh)]]</f>
        <v>67</v>
      </c>
      <c r="J79" t="str">
        <f>IF(tblProducts[[#This Row],[Rating]]="","",tblProducts[[#This Row],[Rating]]+tblProducts[[#This Row],[Review]]/1000000+ROW()/100000000)</f>
        <v/>
      </c>
      <c r="K79" s="11" t="str">
        <f>IF(tblProducts[[#This Row],[Review]]="","",tblProducts[[#This Row],[Review]]+tblProducts[[#This Row],[Rating]]/1000)</f>
        <v/>
      </c>
      <c r="L79" s="11">
        <f>IF(tblProducts[[#This Row],[Discount]]="","",tblProducts[[#This Row],[Discount]]+tblProducts[[#This Row],[Review]]/1000000)</f>
        <v>0.04</v>
      </c>
    </row>
    <row r="80" spans="1:12" x14ac:dyDescent="0.35">
      <c r="A80" t="s">
        <v>346</v>
      </c>
      <c r="B80" s="2">
        <v>230</v>
      </c>
      <c r="C80" s="2">
        <v>450</v>
      </c>
      <c r="D80" s="3">
        <v>0.49</v>
      </c>
      <c r="F80" t="s">
        <v>369</v>
      </c>
      <c r="G80" t="str">
        <f>IF(tblProducts[[#This Row],[Rating]]="","Missing",IF(tblProducts[[#This Row],[Rating]]&lt;3,"Poor",IF(tblProducts[[#This Row],[Rating]]&lt;=4.5,"Average","Excellent")))</f>
        <v>Missing</v>
      </c>
      <c r="H80" t="str">
        <f>IF(tblProducts[[#This Row],[Discount]]="","Missing",IF(tblProducts[[#This Row],[Discount]]&lt;20%,"Low Discount",IF(tblProducts[[#This Row],[Discount]]&lt;=40%,"Medium Discount","High Discount")))</f>
        <v>High Discount</v>
      </c>
      <c r="I80" s="2">
        <f>tblProducts[[#This Row],[old price (Ksh)]]-tblProducts[[#This Row],[Current price (Ksh)]]</f>
        <v>220</v>
      </c>
      <c r="J80" t="str">
        <f>IF(tblProducts[[#This Row],[Rating]]="","",tblProducts[[#This Row],[Rating]]+tblProducts[[#This Row],[Review]]/1000000+ROW()/100000000)</f>
        <v/>
      </c>
      <c r="K80" s="11" t="str">
        <f>IF(tblProducts[[#This Row],[Review]]="","",tblProducts[[#This Row],[Review]]+tblProducts[[#This Row],[Rating]]/1000)</f>
        <v/>
      </c>
      <c r="L80" s="11">
        <f>IF(tblProducts[[#This Row],[Discount]]="","",tblProducts[[#This Row],[Discount]]+tblProducts[[#This Row],[Review]]/1000000)</f>
        <v>0.49</v>
      </c>
    </row>
    <row r="81" spans="1:12" x14ac:dyDescent="0.35">
      <c r="A81" t="s">
        <v>347</v>
      </c>
      <c r="B81" s="2">
        <v>1189</v>
      </c>
      <c r="C81" s="2">
        <v>2199</v>
      </c>
      <c r="D81" s="3">
        <v>0.46</v>
      </c>
      <c r="E81" s="4">
        <v>1</v>
      </c>
      <c r="F81">
        <v>3</v>
      </c>
      <c r="G81" t="str">
        <f>IF(tblProducts[[#This Row],[Rating]]="","Missing",IF(tblProducts[[#This Row],[Rating]]&lt;3,"Poor",IF(tblProducts[[#This Row],[Rating]]&lt;=4.5,"Average","Excellent")))</f>
        <v>Average</v>
      </c>
      <c r="H81" t="str">
        <f>IF(tblProducts[[#This Row],[Discount]]="","Missing",IF(tblProducts[[#This Row],[Discount]]&lt;20%,"Low Discount",IF(tblProducts[[#This Row],[Discount]]&lt;=40%,"Medium Discount","High Discount")))</f>
        <v>High Discount</v>
      </c>
      <c r="I81" s="2">
        <f>tblProducts[[#This Row],[old price (Ksh)]]-tblProducts[[#This Row],[Current price (Ksh)]]</f>
        <v>1010</v>
      </c>
      <c r="J81">
        <f>IF(tblProducts[[#This Row],[Rating]]="","",tblProducts[[#This Row],[Rating]]+tblProducts[[#This Row],[Review]]/1000000+ROW()/100000000)</f>
        <v>3.0000018100000001</v>
      </c>
      <c r="K81" s="11">
        <f>IF(tblProducts[[#This Row],[Review]]="","",tblProducts[[#This Row],[Review]]+tblProducts[[#This Row],[Rating]]/1000)</f>
        <v>1.0029999999999999</v>
      </c>
      <c r="L81" s="11">
        <f>IF(tblProducts[[#This Row],[Discount]]="","",tblProducts[[#This Row],[Discount]]+tblProducts[[#This Row],[Review]]/1000000)</f>
        <v>0.46000099999999999</v>
      </c>
    </row>
    <row r="82" spans="1:12" x14ac:dyDescent="0.35">
      <c r="A82" t="s">
        <v>245</v>
      </c>
      <c r="B82" s="2">
        <v>979</v>
      </c>
      <c r="C82" s="2">
        <v>1920</v>
      </c>
      <c r="D82" s="3">
        <v>0.49</v>
      </c>
      <c r="E82" s="4">
        <v>1</v>
      </c>
      <c r="F82">
        <v>5</v>
      </c>
      <c r="G82" t="str">
        <f>IF(tblProducts[[#This Row],[Rating]]="","Missing",IF(tblProducts[[#This Row],[Rating]]&lt;3,"Poor",IF(tblProducts[[#This Row],[Rating]]&lt;=4.5,"Average","Excellent")))</f>
        <v>Excellent</v>
      </c>
      <c r="H82" t="str">
        <f>IF(tblProducts[[#This Row],[Discount]]="","Missing",IF(tblProducts[[#This Row],[Discount]]&lt;20%,"Low Discount",IF(tblProducts[[#This Row],[Discount]]&lt;=40%,"Medium Discount","High Discount")))</f>
        <v>High Discount</v>
      </c>
      <c r="I82" s="2">
        <f>tblProducts[[#This Row],[old price (Ksh)]]-tblProducts[[#This Row],[Current price (Ksh)]]</f>
        <v>941</v>
      </c>
      <c r="J82">
        <f>IF(tblProducts[[#This Row],[Rating]]="","",tblProducts[[#This Row],[Rating]]+tblProducts[[#This Row],[Review]]/1000000+ROW()/100000000)</f>
        <v>5.0000018200000005</v>
      </c>
      <c r="K82" s="11">
        <f>IF(tblProducts[[#This Row],[Review]]="","",tblProducts[[#This Row],[Review]]+tblProducts[[#This Row],[Rating]]/1000)</f>
        <v>1.0049999999999999</v>
      </c>
      <c r="L82" s="11">
        <f>IF(tblProducts[[#This Row],[Discount]]="","",tblProducts[[#This Row],[Discount]]+tblProducts[[#This Row],[Review]]/1000000)</f>
        <v>0.49000099999999996</v>
      </c>
    </row>
    <row r="83" spans="1:12" x14ac:dyDescent="0.35">
      <c r="A83" t="s">
        <v>362</v>
      </c>
      <c r="B83" s="2">
        <v>1460</v>
      </c>
      <c r="C83" s="2">
        <v>2290</v>
      </c>
      <c r="D83" s="3">
        <v>0.36</v>
      </c>
      <c r="F83" t="s">
        <v>369</v>
      </c>
      <c r="G83" t="str">
        <f>IF(tblProducts[[#This Row],[Rating]]="","Missing",IF(tblProducts[[#This Row],[Rating]]&lt;3,"Poor",IF(tblProducts[[#This Row],[Rating]]&lt;=4.5,"Average","Excellent")))</f>
        <v>Missing</v>
      </c>
      <c r="H83" t="str">
        <f>IF(tblProducts[[#This Row],[Discount]]="","Missing",IF(tblProducts[[#This Row],[Discount]]&lt;20%,"Low Discount",IF(tblProducts[[#This Row],[Discount]]&lt;=40%,"Medium Discount","High Discount")))</f>
        <v>Medium Discount</v>
      </c>
      <c r="I83" s="2">
        <f>tblProducts[[#This Row],[old price (Ksh)]]-tblProducts[[#This Row],[Current price (Ksh)]]</f>
        <v>830</v>
      </c>
      <c r="J83" t="str">
        <f>IF(tblProducts[[#This Row],[Rating]]="","",tblProducts[[#This Row],[Rating]]+tblProducts[[#This Row],[Review]]/1000000+ROW()/100000000)</f>
        <v/>
      </c>
      <c r="K83" s="11" t="str">
        <f>IF(tblProducts[[#This Row],[Review]]="","",tblProducts[[#This Row],[Review]]+tblProducts[[#This Row],[Rating]]/1000)</f>
        <v/>
      </c>
      <c r="L83" s="11">
        <f>IF(tblProducts[[#This Row],[Discount]]="","",tblProducts[[#This Row],[Discount]]+tblProducts[[#This Row],[Review]]/1000000)</f>
        <v>0.36</v>
      </c>
    </row>
    <row r="84" spans="1:12" x14ac:dyDescent="0.35">
      <c r="A84" t="s">
        <v>348</v>
      </c>
      <c r="B84" s="2">
        <v>1666</v>
      </c>
      <c r="C84" s="2">
        <v>1699</v>
      </c>
      <c r="D84" s="3">
        <v>0.02</v>
      </c>
      <c r="F84" t="s">
        <v>369</v>
      </c>
      <c r="G84" t="str">
        <f>IF(tblProducts[[#This Row],[Rating]]="","Missing",IF(tblProducts[[#This Row],[Rating]]&lt;3,"Poor",IF(tblProducts[[#This Row],[Rating]]&lt;=4.5,"Average","Excellent")))</f>
        <v>Missing</v>
      </c>
      <c r="H84" t="str">
        <f>IF(tblProducts[[#This Row],[Discount]]="","Missing",IF(tblProducts[[#This Row],[Discount]]&lt;20%,"Low Discount",IF(tblProducts[[#This Row],[Discount]]&lt;=40%,"Medium Discount","High Discount")))</f>
        <v>Low Discount</v>
      </c>
      <c r="I84" s="2">
        <f>tblProducts[[#This Row],[old price (Ksh)]]-tblProducts[[#This Row],[Current price (Ksh)]]</f>
        <v>33</v>
      </c>
      <c r="J84" t="str">
        <f>IF(tblProducts[[#This Row],[Rating]]="","",tblProducts[[#This Row],[Rating]]+tblProducts[[#This Row],[Review]]/1000000+ROW()/100000000)</f>
        <v/>
      </c>
      <c r="K84" s="11" t="str">
        <f>IF(tblProducts[[#This Row],[Review]]="","",tblProducts[[#This Row],[Review]]+tblProducts[[#This Row],[Rating]]/1000)</f>
        <v/>
      </c>
      <c r="L84" s="11">
        <f>IF(tblProducts[[#This Row],[Discount]]="","",tblProducts[[#This Row],[Discount]]+tblProducts[[#This Row],[Review]]/1000000)</f>
        <v>0.02</v>
      </c>
    </row>
    <row r="85" spans="1:12" x14ac:dyDescent="0.35">
      <c r="A85" t="s">
        <v>253</v>
      </c>
      <c r="B85" s="2">
        <v>330</v>
      </c>
      <c r="C85" s="2">
        <v>647</v>
      </c>
      <c r="D85" s="3">
        <v>0.49</v>
      </c>
      <c r="E85" s="4">
        <v>1</v>
      </c>
      <c r="F85">
        <v>4</v>
      </c>
      <c r="G85" t="str">
        <f>IF(tblProducts[[#This Row],[Rating]]="","Missing",IF(tblProducts[[#This Row],[Rating]]&lt;3,"Poor",IF(tblProducts[[#This Row],[Rating]]&lt;=4.5,"Average","Excellent")))</f>
        <v>Average</v>
      </c>
      <c r="H85" t="str">
        <f>IF(tblProducts[[#This Row],[Discount]]="","Missing",IF(tblProducts[[#This Row],[Discount]]&lt;20%,"Low Discount",IF(tblProducts[[#This Row],[Discount]]&lt;=40%,"Medium Discount","High Discount")))</f>
        <v>High Discount</v>
      </c>
      <c r="I85" s="2">
        <f>tblProducts[[#This Row],[old price (Ksh)]]-tblProducts[[#This Row],[Current price (Ksh)]]</f>
        <v>317</v>
      </c>
      <c r="J85">
        <f>IF(tblProducts[[#This Row],[Rating]]="","",tblProducts[[#This Row],[Rating]]+tblProducts[[#This Row],[Review]]/1000000+ROW()/100000000)</f>
        <v>4.0000018500000003</v>
      </c>
      <c r="K85" s="11">
        <f>IF(tblProducts[[#This Row],[Review]]="","",tblProducts[[#This Row],[Review]]+tblProducts[[#This Row],[Rating]]/1000)</f>
        <v>1.004</v>
      </c>
      <c r="L85" s="11">
        <f>IF(tblProducts[[#This Row],[Discount]]="","",tblProducts[[#This Row],[Discount]]+tblProducts[[#This Row],[Review]]/1000000)</f>
        <v>0.49000099999999996</v>
      </c>
    </row>
    <row r="86" spans="1:12" x14ac:dyDescent="0.35">
      <c r="A86" t="s">
        <v>336</v>
      </c>
      <c r="B86" s="2">
        <v>610</v>
      </c>
      <c r="C86" s="2">
        <v>1060</v>
      </c>
      <c r="D86" s="3">
        <v>0.42</v>
      </c>
      <c r="F86" t="s">
        <v>369</v>
      </c>
      <c r="G86" t="str">
        <f>IF(tblProducts[[#This Row],[Rating]]="","Missing",IF(tblProducts[[#This Row],[Rating]]&lt;3,"Poor",IF(tblProducts[[#This Row],[Rating]]&lt;=4.5,"Average","Excellent")))</f>
        <v>Missing</v>
      </c>
      <c r="H86" t="str">
        <f>IF(tblProducts[[#This Row],[Discount]]="","Missing",IF(tblProducts[[#This Row],[Discount]]&lt;20%,"Low Discount",IF(tblProducts[[#This Row],[Discount]]&lt;=40%,"Medium Discount","High Discount")))</f>
        <v>High Discount</v>
      </c>
      <c r="I86" s="2">
        <f>tblProducts[[#This Row],[old price (Ksh)]]-tblProducts[[#This Row],[Current price (Ksh)]]</f>
        <v>450</v>
      </c>
      <c r="J86" t="str">
        <f>IF(tblProducts[[#This Row],[Rating]]="","",tblProducts[[#This Row],[Rating]]+tblProducts[[#This Row],[Review]]/1000000+ROW()/100000000)</f>
        <v/>
      </c>
      <c r="K86" s="11" t="str">
        <f>IF(tblProducts[[#This Row],[Review]]="","",tblProducts[[#This Row],[Review]]+tblProducts[[#This Row],[Rating]]/1000)</f>
        <v/>
      </c>
      <c r="L86" s="11">
        <f>IF(tblProducts[[#This Row],[Discount]]="","",tblProducts[[#This Row],[Discount]]+tblProducts[[#This Row],[Review]]/1000000)</f>
        <v>0.42</v>
      </c>
    </row>
    <row r="87" spans="1:12" x14ac:dyDescent="0.35">
      <c r="A87" t="s">
        <v>154</v>
      </c>
      <c r="B87" s="2">
        <v>176</v>
      </c>
      <c r="C87" s="2">
        <v>345</v>
      </c>
      <c r="D87" s="3">
        <v>0.49</v>
      </c>
      <c r="F87" t="s">
        <v>369</v>
      </c>
      <c r="G87" t="str">
        <f>IF(tblProducts[[#This Row],[Rating]]="","Missing",IF(tblProducts[[#This Row],[Rating]]&lt;3,"Poor",IF(tblProducts[[#This Row],[Rating]]&lt;=4.5,"Average","Excellent")))</f>
        <v>Missing</v>
      </c>
      <c r="H87" t="str">
        <f>IF(tblProducts[[#This Row],[Discount]]="","Missing",IF(tblProducts[[#This Row],[Discount]]&lt;20%,"Low Discount",IF(tblProducts[[#This Row],[Discount]]&lt;=40%,"Medium Discount","High Discount")))</f>
        <v>High Discount</v>
      </c>
      <c r="I87" s="2">
        <f>tblProducts[[#This Row],[old price (Ksh)]]-tblProducts[[#This Row],[Current price (Ksh)]]</f>
        <v>169</v>
      </c>
      <c r="J87" t="str">
        <f>IF(tblProducts[[#This Row],[Rating]]="","",tblProducts[[#This Row],[Rating]]+tblProducts[[#This Row],[Review]]/1000000+ROW()/100000000)</f>
        <v/>
      </c>
      <c r="K87" s="11" t="str">
        <f>IF(tblProducts[[#This Row],[Review]]="","",tblProducts[[#This Row],[Review]]+tblProducts[[#This Row],[Rating]]/1000)</f>
        <v/>
      </c>
      <c r="L87" s="11">
        <f>IF(tblProducts[[#This Row],[Discount]]="","",tblProducts[[#This Row],[Discount]]+tblProducts[[#This Row],[Review]]/1000000)</f>
        <v>0.49</v>
      </c>
    </row>
    <row r="88" spans="1:12" x14ac:dyDescent="0.35">
      <c r="A88" t="s">
        <v>256</v>
      </c>
      <c r="B88" s="2">
        <v>1466</v>
      </c>
      <c r="C88" s="2">
        <v>1699</v>
      </c>
      <c r="D88" s="3">
        <v>0.14000000000000001</v>
      </c>
      <c r="F88" t="s">
        <v>369</v>
      </c>
      <c r="G88" t="str">
        <f>IF(tblProducts[[#This Row],[Rating]]="","Missing",IF(tblProducts[[#This Row],[Rating]]&lt;3,"Poor",IF(tblProducts[[#This Row],[Rating]]&lt;=4.5,"Average","Excellent")))</f>
        <v>Missing</v>
      </c>
      <c r="H88" t="str">
        <f>IF(tblProducts[[#This Row],[Discount]]="","Missing",IF(tblProducts[[#This Row],[Discount]]&lt;20%,"Low Discount",IF(tblProducts[[#This Row],[Discount]]&lt;=40%,"Medium Discount","High Discount")))</f>
        <v>Low Discount</v>
      </c>
      <c r="I88" s="2">
        <f>tblProducts[[#This Row],[old price (Ksh)]]-tblProducts[[#This Row],[Current price (Ksh)]]</f>
        <v>233</v>
      </c>
      <c r="J88" t="str">
        <f>IF(tblProducts[[#This Row],[Rating]]="","",tblProducts[[#This Row],[Rating]]+tblProducts[[#This Row],[Review]]/1000000+ROW()/100000000)</f>
        <v/>
      </c>
      <c r="K88" s="11" t="str">
        <f>IF(tblProducts[[#This Row],[Review]]="","",tblProducts[[#This Row],[Review]]+tblProducts[[#This Row],[Rating]]/1000)</f>
        <v/>
      </c>
      <c r="L88" s="11">
        <f>IF(tblProducts[[#This Row],[Discount]]="","",tblProducts[[#This Row],[Discount]]+tblProducts[[#This Row],[Review]]/1000000)</f>
        <v>0.14000000000000001</v>
      </c>
    </row>
    <row r="89" spans="1:12" x14ac:dyDescent="0.35">
      <c r="A89" t="s">
        <v>258</v>
      </c>
      <c r="B89" s="2">
        <v>274</v>
      </c>
      <c r="C89" s="2">
        <v>537</v>
      </c>
      <c r="D89" s="3">
        <v>0.49</v>
      </c>
      <c r="F89" t="s">
        <v>369</v>
      </c>
      <c r="G89" t="str">
        <f>IF(tblProducts[[#This Row],[Rating]]="","Missing",IF(tblProducts[[#This Row],[Rating]]&lt;3,"Poor",IF(tblProducts[[#This Row],[Rating]]&lt;=4.5,"Average","Excellent")))</f>
        <v>Missing</v>
      </c>
      <c r="H89" t="str">
        <f>IF(tblProducts[[#This Row],[Discount]]="","Missing",IF(tblProducts[[#This Row],[Discount]]&lt;20%,"Low Discount",IF(tblProducts[[#This Row],[Discount]]&lt;=40%,"Medium Discount","High Discount")))</f>
        <v>High Discount</v>
      </c>
      <c r="I89" s="2">
        <f>tblProducts[[#This Row],[old price (Ksh)]]-tblProducts[[#This Row],[Current price (Ksh)]]</f>
        <v>263</v>
      </c>
      <c r="J89" t="str">
        <f>IF(tblProducts[[#This Row],[Rating]]="","",tblProducts[[#This Row],[Rating]]+tblProducts[[#This Row],[Review]]/1000000+ROW()/100000000)</f>
        <v/>
      </c>
      <c r="K89" s="11" t="str">
        <f>IF(tblProducts[[#This Row],[Review]]="","",tblProducts[[#This Row],[Review]]+tblProducts[[#This Row],[Rating]]/1000)</f>
        <v/>
      </c>
      <c r="L89" s="11">
        <f>IF(tblProducts[[#This Row],[Discount]]="","",tblProducts[[#This Row],[Discount]]+tblProducts[[#This Row],[Review]]/1000000)</f>
        <v>0.49</v>
      </c>
    </row>
    <row r="90" spans="1:12" x14ac:dyDescent="0.35">
      <c r="A90" t="s">
        <v>349</v>
      </c>
      <c r="B90" s="2">
        <v>799</v>
      </c>
      <c r="C90" s="2">
        <v>900</v>
      </c>
      <c r="D90" s="3">
        <v>0.11</v>
      </c>
      <c r="F90" t="s">
        <v>369</v>
      </c>
      <c r="G90" t="str">
        <f>IF(tblProducts[[#This Row],[Rating]]="","Missing",IF(tblProducts[[#This Row],[Rating]]&lt;3,"Poor",IF(tblProducts[[#This Row],[Rating]]&lt;=4.5,"Average","Excellent")))</f>
        <v>Missing</v>
      </c>
      <c r="H90" t="str">
        <f>IF(tblProducts[[#This Row],[Discount]]="","Missing",IF(tblProducts[[#This Row],[Discount]]&lt;20%,"Low Discount",IF(tblProducts[[#This Row],[Discount]]&lt;=40%,"Medium Discount","High Discount")))</f>
        <v>Low Discount</v>
      </c>
      <c r="I90" s="2">
        <f>tblProducts[[#This Row],[old price (Ksh)]]-tblProducts[[#This Row],[Current price (Ksh)]]</f>
        <v>101</v>
      </c>
      <c r="J90" t="str">
        <f>IF(tblProducts[[#This Row],[Rating]]="","",tblProducts[[#This Row],[Rating]]+tblProducts[[#This Row],[Review]]/1000000+ROW()/100000000)</f>
        <v/>
      </c>
      <c r="K90" s="11" t="str">
        <f>IF(tblProducts[[#This Row],[Review]]="","",tblProducts[[#This Row],[Review]]+tblProducts[[#This Row],[Rating]]/1000)</f>
        <v/>
      </c>
      <c r="L90" s="11">
        <f>IF(tblProducts[[#This Row],[Discount]]="","",tblProducts[[#This Row],[Discount]]+tblProducts[[#This Row],[Review]]/1000000)</f>
        <v>0.11</v>
      </c>
    </row>
    <row r="91" spans="1:12" x14ac:dyDescent="0.35">
      <c r="A91" t="s">
        <v>175</v>
      </c>
      <c r="B91" s="2">
        <v>657</v>
      </c>
      <c r="C91" s="2">
        <v>1288</v>
      </c>
      <c r="D91" s="3">
        <v>0.49</v>
      </c>
      <c r="F91" t="s">
        <v>369</v>
      </c>
      <c r="G91" t="str">
        <f>IF(tblProducts[[#This Row],[Rating]]="","Missing",IF(tblProducts[[#This Row],[Rating]]&lt;3,"Poor",IF(tblProducts[[#This Row],[Rating]]&lt;=4.5,"Average","Excellent")))</f>
        <v>Missing</v>
      </c>
      <c r="H91" t="str">
        <f>IF(tblProducts[[#This Row],[Discount]]="","Missing",IF(tblProducts[[#This Row],[Discount]]&lt;20%,"Low Discount",IF(tblProducts[[#This Row],[Discount]]&lt;=40%,"Medium Discount","High Discount")))</f>
        <v>High Discount</v>
      </c>
      <c r="I91" s="2">
        <f>tblProducts[[#This Row],[old price (Ksh)]]-tblProducts[[#This Row],[Current price (Ksh)]]</f>
        <v>631</v>
      </c>
      <c r="J91" t="str">
        <f>IF(tblProducts[[#This Row],[Rating]]="","",tblProducts[[#This Row],[Rating]]+tblProducts[[#This Row],[Review]]/1000000+ROW()/100000000)</f>
        <v/>
      </c>
      <c r="K91" s="11" t="str">
        <f>IF(tblProducts[[#This Row],[Review]]="","",tblProducts[[#This Row],[Review]]+tblProducts[[#This Row],[Rating]]/1000)</f>
        <v/>
      </c>
      <c r="L91" s="11">
        <f>IF(tblProducts[[#This Row],[Discount]]="","",tblProducts[[#This Row],[Discount]]+tblProducts[[#This Row],[Review]]/1000000)</f>
        <v>0.49</v>
      </c>
    </row>
    <row r="92" spans="1:12" x14ac:dyDescent="0.35">
      <c r="A92" t="s">
        <v>264</v>
      </c>
      <c r="B92" s="2">
        <v>1468</v>
      </c>
      <c r="C92" s="2">
        <v>1699</v>
      </c>
      <c r="D92" s="3">
        <v>0.14000000000000001</v>
      </c>
      <c r="F92" t="s">
        <v>369</v>
      </c>
      <c r="G92" t="str">
        <f>IF(tblProducts[[#This Row],[Rating]]="","Missing",IF(tblProducts[[#This Row],[Rating]]&lt;3,"Poor",IF(tblProducts[[#This Row],[Rating]]&lt;=4.5,"Average","Excellent")))</f>
        <v>Missing</v>
      </c>
      <c r="H92" t="str">
        <f>IF(tblProducts[[#This Row],[Discount]]="","Missing",IF(tblProducts[[#This Row],[Discount]]&lt;20%,"Low Discount",IF(tblProducts[[#This Row],[Discount]]&lt;=40%,"Medium Discount","High Discount")))</f>
        <v>Low Discount</v>
      </c>
      <c r="I92" s="2">
        <f>tblProducts[[#This Row],[old price (Ksh)]]-tblProducts[[#This Row],[Current price (Ksh)]]</f>
        <v>231</v>
      </c>
      <c r="J92" t="str">
        <f>IF(tblProducts[[#This Row],[Rating]]="","",tblProducts[[#This Row],[Rating]]+tblProducts[[#This Row],[Review]]/1000000+ROW()/100000000)</f>
        <v/>
      </c>
      <c r="K92" s="11" t="str">
        <f>IF(tblProducts[[#This Row],[Review]]="","",tblProducts[[#This Row],[Review]]+tblProducts[[#This Row],[Rating]]/1000)</f>
        <v/>
      </c>
      <c r="L92" s="11">
        <f>IF(tblProducts[[#This Row],[Discount]]="","",tblProducts[[#This Row],[Discount]]+tblProducts[[#This Row],[Review]]/1000000)</f>
        <v>0.14000000000000001</v>
      </c>
    </row>
    <row r="93" spans="1:12" x14ac:dyDescent="0.35">
      <c r="A93" t="s">
        <v>266</v>
      </c>
      <c r="B93" s="2">
        <v>630</v>
      </c>
      <c r="C93" s="2">
        <v>1100</v>
      </c>
      <c r="D93" s="3">
        <v>0.43</v>
      </c>
      <c r="F93" t="s">
        <v>369</v>
      </c>
      <c r="G93" t="str">
        <f>IF(tblProducts[[#This Row],[Rating]]="","Missing",IF(tblProducts[[#This Row],[Rating]]&lt;3,"Poor",IF(tblProducts[[#This Row],[Rating]]&lt;=4.5,"Average","Excellent")))</f>
        <v>Missing</v>
      </c>
      <c r="H93" t="str">
        <f>IF(tblProducts[[#This Row],[Discount]]="","Missing",IF(tblProducts[[#This Row],[Discount]]&lt;20%,"Low Discount",IF(tblProducts[[#This Row],[Discount]]&lt;=40%,"Medium Discount","High Discount")))</f>
        <v>High Discount</v>
      </c>
      <c r="I93" s="2">
        <f>tblProducts[[#This Row],[old price (Ksh)]]-tblProducts[[#This Row],[Current price (Ksh)]]</f>
        <v>470</v>
      </c>
      <c r="J93" t="str">
        <f>IF(tblProducts[[#This Row],[Rating]]="","",tblProducts[[#This Row],[Rating]]+tblProducts[[#This Row],[Review]]/1000000+ROW()/100000000)</f>
        <v/>
      </c>
      <c r="K93" s="11" t="str">
        <f>IF(tblProducts[[#This Row],[Review]]="","",tblProducts[[#This Row],[Review]]+tblProducts[[#This Row],[Rating]]/1000)</f>
        <v/>
      </c>
      <c r="L93" s="11">
        <f>IF(tblProducts[[#This Row],[Discount]]="","",tblProducts[[#This Row],[Discount]]+tblProducts[[#This Row],[Review]]/1000000)</f>
        <v>0.43</v>
      </c>
    </row>
    <row r="94" spans="1:12" x14ac:dyDescent="0.35">
      <c r="A94" t="s">
        <v>269</v>
      </c>
      <c r="B94" s="2">
        <v>850</v>
      </c>
      <c r="C94" s="2">
        <v>1700</v>
      </c>
      <c r="D94" s="3">
        <v>0.5</v>
      </c>
      <c r="F94" t="s">
        <v>369</v>
      </c>
      <c r="G94" t="str">
        <f>IF(tblProducts[[#This Row],[Rating]]="","Missing",IF(tblProducts[[#This Row],[Rating]]&lt;3,"Poor",IF(tblProducts[[#This Row],[Rating]]&lt;=4.5,"Average","Excellent")))</f>
        <v>Missing</v>
      </c>
      <c r="H94" t="str">
        <f>IF(tblProducts[[#This Row],[Discount]]="","Missing",IF(tblProducts[[#This Row],[Discount]]&lt;20%,"Low Discount",IF(tblProducts[[#This Row],[Discount]]&lt;=40%,"Medium Discount","High Discount")))</f>
        <v>High Discount</v>
      </c>
      <c r="I94" s="2">
        <f>tblProducts[[#This Row],[old price (Ksh)]]-tblProducts[[#This Row],[Current price (Ksh)]]</f>
        <v>850</v>
      </c>
      <c r="J94" t="str">
        <f>IF(tblProducts[[#This Row],[Rating]]="","",tblProducts[[#This Row],[Rating]]+tblProducts[[#This Row],[Review]]/1000000+ROW()/100000000)</f>
        <v/>
      </c>
      <c r="K94" s="11" t="str">
        <f>IF(tblProducts[[#This Row],[Review]]="","",tblProducts[[#This Row],[Review]]+tblProducts[[#This Row],[Rating]]/1000)</f>
        <v/>
      </c>
      <c r="L94" s="11">
        <f>IF(tblProducts[[#This Row],[Discount]]="","",tblProducts[[#This Row],[Discount]]+tblProducts[[#This Row],[Review]]/1000000)</f>
        <v>0.5</v>
      </c>
    </row>
    <row r="95" spans="1:12" x14ac:dyDescent="0.35">
      <c r="A95" t="s">
        <v>272</v>
      </c>
      <c r="B95" s="2">
        <v>1300</v>
      </c>
      <c r="C95" s="2">
        <v>2500</v>
      </c>
      <c r="D95" s="3">
        <v>0.48</v>
      </c>
      <c r="F95" t="s">
        <v>369</v>
      </c>
      <c r="G95" t="str">
        <f>IF(tblProducts[[#This Row],[Rating]]="","Missing",IF(tblProducts[[#This Row],[Rating]]&lt;3,"Poor",IF(tblProducts[[#This Row],[Rating]]&lt;=4.5,"Average","Excellent")))</f>
        <v>Missing</v>
      </c>
      <c r="H95" t="str">
        <f>IF(tblProducts[[#This Row],[Discount]]="","Missing",IF(tblProducts[[#This Row],[Discount]]&lt;20%,"Low Discount",IF(tblProducts[[#This Row],[Discount]]&lt;=40%,"Medium Discount","High Discount")))</f>
        <v>High Discount</v>
      </c>
      <c r="I95" s="2">
        <f>tblProducts[[#This Row],[old price (Ksh)]]-tblProducts[[#This Row],[Current price (Ksh)]]</f>
        <v>1200</v>
      </c>
      <c r="J95" t="str">
        <f>IF(tblProducts[[#This Row],[Rating]]="","",tblProducts[[#This Row],[Rating]]+tblProducts[[#This Row],[Review]]/1000000+ROW()/100000000)</f>
        <v/>
      </c>
      <c r="K95" s="11" t="str">
        <f>IF(tblProducts[[#This Row],[Review]]="","",tblProducts[[#This Row],[Review]]+tblProducts[[#This Row],[Rating]]/1000)</f>
        <v/>
      </c>
      <c r="L95" s="11">
        <f>IF(tblProducts[[#This Row],[Discount]]="","",tblProducts[[#This Row],[Discount]]+tblProducts[[#This Row],[Review]]/1000000)</f>
        <v>0.48</v>
      </c>
    </row>
    <row r="96" spans="1:12" x14ac:dyDescent="0.35">
      <c r="A96" t="s">
        <v>274</v>
      </c>
      <c r="B96" s="2">
        <v>105</v>
      </c>
      <c r="C96" s="2">
        <v>200</v>
      </c>
      <c r="D96" s="3">
        <v>0.48</v>
      </c>
      <c r="F96" t="s">
        <v>369</v>
      </c>
      <c r="G96" t="str">
        <f>IF(tblProducts[[#This Row],[Rating]]="","Missing",IF(tblProducts[[#This Row],[Rating]]&lt;3,"Poor",IF(tblProducts[[#This Row],[Rating]]&lt;=4.5,"Average","Excellent")))</f>
        <v>Missing</v>
      </c>
      <c r="H96" t="str">
        <f>IF(tblProducts[[#This Row],[Discount]]="","Missing",IF(tblProducts[[#This Row],[Discount]]&lt;20%,"Low Discount",IF(tblProducts[[#This Row],[Discount]]&lt;=40%,"Medium Discount","High Discount")))</f>
        <v>High Discount</v>
      </c>
      <c r="I96" s="2">
        <f>tblProducts[[#This Row],[old price (Ksh)]]-tblProducts[[#This Row],[Current price (Ksh)]]</f>
        <v>95</v>
      </c>
      <c r="J96" t="str">
        <f>IF(tblProducts[[#This Row],[Rating]]="","",tblProducts[[#This Row],[Rating]]+tblProducts[[#This Row],[Review]]/1000000+ROW()/100000000)</f>
        <v/>
      </c>
      <c r="K96" s="11" t="str">
        <f>IF(tblProducts[[#This Row],[Review]]="","",tblProducts[[#This Row],[Review]]+tblProducts[[#This Row],[Rating]]/1000)</f>
        <v/>
      </c>
      <c r="L96" s="11">
        <f>IF(tblProducts[[#This Row],[Discount]]="","",tblProducts[[#This Row],[Discount]]+tblProducts[[#This Row],[Review]]/1000000)</f>
        <v>0.48</v>
      </c>
    </row>
    <row r="97" spans="1:12" x14ac:dyDescent="0.35">
      <c r="A97" t="s">
        <v>277</v>
      </c>
      <c r="B97" s="2">
        <v>899</v>
      </c>
      <c r="C97" s="2">
        <v>1699</v>
      </c>
      <c r="D97" s="3">
        <v>0.47</v>
      </c>
      <c r="F97" t="s">
        <v>369</v>
      </c>
      <c r="G97" t="str">
        <f>IF(tblProducts[[#This Row],[Rating]]="","Missing",IF(tblProducts[[#This Row],[Rating]]&lt;3,"Poor",IF(tblProducts[[#This Row],[Rating]]&lt;=4.5,"Average","Excellent")))</f>
        <v>Missing</v>
      </c>
      <c r="H97" t="str">
        <f>IF(tblProducts[[#This Row],[Discount]]="","Missing",IF(tblProducts[[#This Row],[Discount]]&lt;20%,"Low Discount",IF(tblProducts[[#This Row],[Discount]]&lt;=40%,"Medium Discount","High Discount")))</f>
        <v>High Discount</v>
      </c>
      <c r="I97" s="2">
        <f>tblProducts[[#This Row],[old price (Ksh)]]-tblProducts[[#This Row],[Current price (Ksh)]]</f>
        <v>800</v>
      </c>
      <c r="J97" t="str">
        <f>IF(tblProducts[[#This Row],[Rating]]="","",tblProducts[[#This Row],[Rating]]+tblProducts[[#This Row],[Review]]/1000000+ROW()/100000000)</f>
        <v/>
      </c>
      <c r="K97" s="11" t="str">
        <f>IF(tblProducts[[#This Row],[Review]]="","",tblProducts[[#This Row],[Review]]+tblProducts[[#This Row],[Rating]]/1000)</f>
        <v/>
      </c>
      <c r="L97" s="11">
        <f>IF(tblProducts[[#This Row],[Discount]]="","",tblProducts[[#This Row],[Discount]]+tblProducts[[#This Row],[Review]]/1000000)</f>
        <v>0.47</v>
      </c>
    </row>
    <row r="98" spans="1:12" x14ac:dyDescent="0.35">
      <c r="A98" t="s">
        <v>277</v>
      </c>
      <c r="B98" s="2">
        <v>899</v>
      </c>
      <c r="C98" s="2">
        <v>1699</v>
      </c>
      <c r="D98" s="3">
        <v>0.47</v>
      </c>
      <c r="F98" t="s">
        <v>369</v>
      </c>
      <c r="G98" t="str">
        <f>IF(tblProducts[[#This Row],[Rating]]="","Missing",IF(tblProducts[[#This Row],[Rating]]&lt;3,"Poor",IF(tblProducts[[#This Row],[Rating]]&lt;=4.5,"Average","Excellent")))</f>
        <v>Missing</v>
      </c>
      <c r="H98" t="str">
        <f>IF(tblProducts[[#This Row],[Discount]]="","Missing",IF(tblProducts[[#This Row],[Discount]]&lt;20%,"Low Discount",IF(tblProducts[[#This Row],[Discount]]&lt;=40%,"Medium Discount","High Discount")))</f>
        <v>High Discount</v>
      </c>
      <c r="I98" s="2">
        <f>tblProducts[[#This Row],[old price (Ksh)]]-tblProducts[[#This Row],[Current price (Ksh)]]</f>
        <v>800</v>
      </c>
      <c r="J98" t="str">
        <f>IF(tblProducts[[#This Row],[Rating]]="","",tblProducts[[#This Row],[Rating]]+tblProducts[[#This Row],[Review]]/1000000+ROW()/100000000)</f>
        <v/>
      </c>
      <c r="K98" s="11" t="str">
        <f>IF(tblProducts[[#This Row],[Review]]="","",tblProducts[[#This Row],[Review]]+tblProducts[[#This Row],[Rating]]/1000)</f>
        <v/>
      </c>
      <c r="L98" s="11">
        <f>IF(tblProducts[[#This Row],[Discount]]="","",tblProducts[[#This Row],[Discount]]+tblProducts[[#This Row],[Review]]/1000000)</f>
        <v>0.47</v>
      </c>
    </row>
    <row r="99" spans="1:12" x14ac:dyDescent="0.35">
      <c r="A99" t="s">
        <v>350</v>
      </c>
      <c r="B99" s="2">
        <v>1200</v>
      </c>
      <c r="C99" s="2">
        <v>2400</v>
      </c>
      <c r="D99" s="3">
        <v>0.5</v>
      </c>
      <c r="F99" t="s">
        <v>369</v>
      </c>
      <c r="G99" t="str">
        <f>IF(tblProducts[[#This Row],[Rating]]="","Missing",IF(tblProducts[[#This Row],[Rating]]&lt;3,"Poor",IF(tblProducts[[#This Row],[Rating]]&lt;=4.5,"Average","Excellent")))</f>
        <v>Missing</v>
      </c>
      <c r="H99" t="str">
        <f>IF(tblProducts[[#This Row],[Discount]]="","Missing",IF(tblProducts[[#This Row],[Discount]]&lt;20%,"Low Discount",IF(tblProducts[[#This Row],[Discount]]&lt;=40%,"Medium Discount","High Discount")))</f>
        <v>High Discount</v>
      </c>
      <c r="I99" s="2">
        <f>tblProducts[[#This Row],[old price (Ksh)]]-tblProducts[[#This Row],[Current price (Ksh)]]</f>
        <v>1200</v>
      </c>
      <c r="J99" t="str">
        <f>IF(tblProducts[[#This Row],[Rating]]="","",tblProducts[[#This Row],[Rating]]+tblProducts[[#This Row],[Review]]/1000000+ROW()/100000000)</f>
        <v/>
      </c>
      <c r="K99" s="11" t="str">
        <f>IF(tblProducts[[#This Row],[Review]]="","",tblProducts[[#This Row],[Review]]+tblProducts[[#This Row],[Rating]]/1000)</f>
        <v/>
      </c>
      <c r="L99" s="11">
        <f>IF(tblProducts[[#This Row],[Discount]]="","",tblProducts[[#This Row],[Discount]]+tblProducts[[#This Row],[Review]]/1000000)</f>
        <v>0.5</v>
      </c>
    </row>
    <row r="100" spans="1:12" x14ac:dyDescent="0.35">
      <c r="A100" t="s">
        <v>280</v>
      </c>
      <c r="B100" s="2">
        <v>1526</v>
      </c>
      <c r="C100" s="2">
        <v>1660</v>
      </c>
      <c r="D100" s="3">
        <v>0.08</v>
      </c>
      <c r="F100" t="s">
        <v>369</v>
      </c>
      <c r="G100" t="str">
        <f>IF(tblProducts[[#This Row],[Rating]]="","Missing",IF(tblProducts[[#This Row],[Rating]]&lt;3,"Poor",IF(tblProducts[[#This Row],[Rating]]&lt;=4.5,"Average","Excellent")))</f>
        <v>Missing</v>
      </c>
      <c r="H100" t="str">
        <f>IF(tblProducts[[#This Row],[Discount]]="","Missing",IF(tblProducts[[#This Row],[Discount]]&lt;20%,"Low Discount",IF(tblProducts[[#This Row],[Discount]]&lt;=40%,"Medium Discount","High Discount")))</f>
        <v>Low Discount</v>
      </c>
      <c r="I100" s="2">
        <f>tblProducts[[#This Row],[old price (Ksh)]]-tblProducts[[#This Row],[Current price (Ksh)]]</f>
        <v>134</v>
      </c>
      <c r="J100" t="str">
        <f>IF(tblProducts[[#This Row],[Rating]]="","",tblProducts[[#This Row],[Rating]]+tblProducts[[#This Row],[Review]]/1000000+ROW()/100000000)</f>
        <v/>
      </c>
      <c r="K100" s="11" t="str">
        <f>IF(tblProducts[[#This Row],[Review]]="","",tblProducts[[#This Row],[Review]]+tblProducts[[#This Row],[Rating]]/1000)</f>
        <v/>
      </c>
      <c r="L100" s="11">
        <f>IF(tblProducts[[#This Row],[Discount]]="","",tblProducts[[#This Row],[Discount]]+tblProducts[[#This Row],[Review]]/1000000)</f>
        <v>0.08</v>
      </c>
    </row>
    <row r="101" spans="1:12" x14ac:dyDescent="0.35">
      <c r="A101" t="s">
        <v>282</v>
      </c>
      <c r="B101" s="2">
        <v>1462</v>
      </c>
      <c r="C101" s="2">
        <v>1499</v>
      </c>
      <c r="D101" s="3">
        <v>0.02</v>
      </c>
      <c r="F101" t="s">
        <v>369</v>
      </c>
      <c r="G101" t="str">
        <f>IF(tblProducts[[#This Row],[Rating]]="","Missing",IF(tblProducts[[#This Row],[Rating]]&lt;3,"Poor",IF(tblProducts[[#This Row],[Rating]]&lt;=4.5,"Average","Excellent")))</f>
        <v>Missing</v>
      </c>
      <c r="H101" t="str">
        <f>IF(tblProducts[[#This Row],[Discount]]="","Missing",IF(tblProducts[[#This Row],[Discount]]&lt;20%,"Low Discount",IF(tblProducts[[#This Row],[Discount]]&lt;=40%,"Medium Discount","High Discount")))</f>
        <v>Low Discount</v>
      </c>
      <c r="I101" s="2">
        <f>tblProducts[[#This Row],[old price (Ksh)]]-tblProducts[[#This Row],[Current price (Ksh)]]</f>
        <v>37</v>
      </c>
      <c r="J101" t="str">
        <f>IF(tblProducts[[#This Row],[Rating]]="","",tblProducts[[#This Row],[Rating]]+tblProducts[[#This Row],[Review]]/1000000+ROW()/100000000)</f>
        <v/>
      </c>
      <c r="K101" s="11" t="str">
        <f>IF(tblProducts[[#This Row],[Review]]="","",tblProducts[[#This Row],[Review]]+tblProducts[[#This Row],[Rating]]/1000)</f>
        <v/>
      </c>
      <c r="L101" s="11">
        <f>IF(tblProducts[[#This Row],[Discount]]="","",tblProducts[[#This Row],[Discount]]+tblProducts[[#This Row],[Review]]/1000000)</f>
        <v>0.02</v>
      </c>
    </row>
    <row r="102" spans="1:12" x14ac:dyDescent="0.35">
      <c r="A102" t="s">
        <v>284</v>
      </c>
      <c r="B102" s="2">
        <v>248</v>
      </c>
      <c r="C102" s="2">
        <v>486</v>
      </c>
      <c r="D102" s="3">
        <v>0.49</v>
      </c>
      <c r="F102" t="s">
        <v>369</v>
      </c>
      <c r="G102" t="str">
        <f>IF(tblProducts[[#This Row],[Rating]]="","Missing",IF(tblProducts[[#This Row],[Rating]]&lt;3,"Poor",IF(tblProducts[[#This Row],[Rating]]&lt;=4.5,"Average","Excellent")))</f>
        <v>Missing</v>
      </c>
      <c r="H102" t="str">
        <f>IF(tblProducts[[#This Row],[Discount]]="","Missing",IF(tblProducts[[#This Row],[Discount]]&lt;20%,"Low Discount",IF(tblProducts[[#This Row],[Discount]]&lt;=40%,"Medium Discount","High Discount")))</f>
        <v>High Discount</v>
      </c>
      <c r="I102" s="2">
        <f>tblProducts[[#This Row],[old price (Ksh)]]-tblProducts[[#This Row],[Current price (Ksh)]]</f>
        <v>238</v>
      </c>
      <c r="J102" t="str">
        <f>IF(tblProducts[[#This Row],[Rating]]="","",tblProducts[[#This Row],[Rating]]+tblProducts[[#This Row],[Review]]/1000000+ROW()/100000000)</f>
        <v/>
      </c>
      <c r="K102" s="11" t="str">
        <f>IF(tblProducts[[#This Row],[Review]]="","",tblProducts[[#This Row],[Review]]+tblProducts[[#This Row],[Rating]]/1000)</f>
        <v/>
      </c>
      <c r="L102" s="11">
        <f>IF(tblProducts[[#This Row],[Discount]]="","",tblProducts[[#This Row],[Discount]]+tblProducts[[#This Row],[Review]]/1000000)</f>
        <v>0.49</v>
      </c>
    </row>
    <row r="103" spans="1:12" x14ac:dyDescent="0.35">
      <c r="A103" t="s">
        <v>287</v>
      </c>
      <c r="B103" s="2">
        <v>3546</v>
      </c>
      <c r="C103" s="2">
        <v>3699</v>
      </c>
      <c r="D103" s="3">
        <v>0.04</v>
      </c>
      <c r="F103" t="s">
        <v>369</v>
      </c>
      <c r="G103" t="str">
        <f>IF(tblProducts[[#This Row],[Rating]]="","Missing",IF(tblProducts[[#This Row],[Rating]]&lt;3,"Poor",IF(tblProducts[[#This Row],[Rating]]&lt;=4.5,"Average","Excellent")))</f>
        <v>Missing</v>
      </c>
      <c r="H103" t="str">
        <f>IF(tblProducts[[#This Row],[Discount]]="","Missing",IF(tblProducts[[#This Row],[Discount]]&lt;20%,"Low Discount",IF(tblProducts[[#This Row],[Discount]]&lt;=40%,"Medium Discount","High Discount")))</f>
        <v>Low Discount</v>
      </c>
      <c r="I103" s="2">
        <f>tblProducts[[#This Row],[old price (Ksh)]]-tblProducts[[#This Row],[Current price (Ksh)]]</f>
        <v>153</v>
      </c>
      <c r="J103" t="str">
        <f>IF(tblProducts[[#This Row],[Rating]]="","",tblProducts[[#This Row],[Rating]]+tblProducts[[#This Row],[Review]]/1000000+ROW()/100000000)</f>
        <v/>
      </c>
      <c r="K103" s="11" t="str">
        <f>IF(tblProducts[[#This Row],[Review]]="","",tblProducts[[#This Row],[Review]]+tblProducts[[#This Row],[Rating]]/1000)</f>
        <v/>
      </c>
      <c r="L103" s="11">
        <f>IF(tblProducts[[#This Row],[Discount]]="","",tblProducts[[#This Row],[Discount]]+tblProducts[[#This Row],[Review]]/1000000)</f>
        <v>0.04</v>
      </c>
    </row>
    <row r="104" spans="1:12" x14ac:dyDescent="0.35">
      <c r="A104" t="s">
        <v>289</v>
      </c>
      <c r="B104" s="2">
        <v>525</v>
      </c>
      <c r="C104" s="2">
        <v>1029</v>
      </c>
      <c r="D104" s="3">
        <v>0.49</v>
      </c>
      <c r="F104" t="s">
        <v>369</v>
      </c>
      <c r="G104" t="str">
        <f>IF(tblProducts[[#This Row],[Rating]]="","Missing",IF(tblProducts[[#This Row],[Rating]]&lt;3,"Poor",IF(tblProducts[[#This Row],[Rating]]&lt;=4.5,"Average","Excellent")))</f>
        <v>Missing</v>
      </c>
      <c r="H104" t="str">
        <f>IF(tblProducts[[#This Row],[Discount]]="","Missing",IF(tblProducts[[#This Row],[Discount]]&lt;20%,"Low Discount",IF(tblProducts[[#This Row],[Discount]]&lt;=40%,"Medium Discount","High Discount")))</f>
        <v>High Discount</v>
      </c>
      <c r="I104" s="2">
        <f>tblProducts[[#This Row],[old price (Ksh)]]-tblProducts[[#This Row],[Current price (Ksh)]]</f>
        <v>504</v>
      </c>
      <c r="J104" t="str">
        <f>IF(tblProducts[[#This Row],[Rating]]="","",tblProducts[[#This Row],[Rating]]+tblProducts[[#This Row],[Review]]/1000000+ROW()/100000000)</f>
        <v/>
      </c>
      <c r="K104" s="11" t="str">
        <f>IF(tblProducts[[#This Row],[Review]]="","",tblProducts[[#This Row],[Review]]+tblProducts[[#This Row],[Rating]]/1000)</f>
        <v/>
      </c>
      <c r="L104" s="11">
        <f>IF(tblProducts[[#This Row],[Discount]]="","",tblProducts[[#This Row],[Discount]]+tblProducts[[#This Row],[Review]]/1000000)</f>
        <v>0.49</v>
      </c>
    </row>
    <row r="105" spans="1:12" x14ac:dyDescent="0.35">
      <c r="A105" t="s">
        <v>363</v>
      </c>
      <c r="B105" s="2">
        <v>1080</v>
      </c>
      <c r="C105" s="2">
        <v>1874</v>
      </c>
      <c r="D105" s="3">
        <v>0.42</v>
      </c>
      <c r="F105" t="s">
        <v>369</v>
      </c>
      <c r="G105" t="str">
        <f>IF(tblProducts[[#This Row],[Rating]]="","Missing",IF(tblProducts[[#This Row],[Rating]]&lt;3,"Poor",IF(tblProducts[[#This Row],[Rating]]&lt;=4.5,"Average","Excellent")))</f>
        <v>Missing</v>
      </c>
      <c r="H105" t="str">
        <f>IF(tblProducts[[#This Row],[Discount]]="","Missing",IF(tblProducts[[#This Row],[Discount]]&lt;20%,"Low Discount",IF(tblProducts[[#This Row],[Discount]]&lt;=40%,"Medium Discount","High Discount")))</f>
        <v>High Discount</v>
      </c>
      <c r="I105" s="2">
        <f>tblProducts[[#This Row],[old price (Ksh)]]-tblProducts[[#This Row],[Current price (Ksh)]]</f>
        <v>794</v>
      </c>
      <c r="J105" t="str">
        <f>IF(tblProducts[[#This Row],[Rating]]="","",tblProducts[[#This Row],[Rating]]+tblProducts[[#This Row],[Review]]/1000000+ROW()/100000000)</f>
        <v/>
      </c>
      <c r="K105" s="11" t="str">
        <f>IF(tblProducts[[#This Row],[Review]]="","",tblProducts[[#This Row],[Review]]+tblProducts[[#This Row],[Rating]]/1000)</f>
        <v/>
      </c>
      <c r="L105" s="11">
        <f>IF(tblProducts[[#This Row],[Discount]]="","",tblProducts[[#This Row],[Discount]]+tblProducts[[#This Row],[Review]]/1000000)</f>
        <v>0.42</v>
      </c>
    </row>
    <row r="106" spans="1:12" x14ac:dyDescent="0.35">
      <c r="A106" t="s">
        <v>351</v>
      </c>
      <c r="B106" s="2">
        <v>3640</v>
      </c>
      <c r="C106" s="2">
        <v>4588</v>
      </c>
      <c r="D106" s="3">
        <v>0.21</v>
      </c>
      <c r="E106" s="4">
        <v>1</v>
      </c>
      <c r="F106">
        <v>5</v>
      </c>
      <c r="G106" t="str">
        <f>IF(tblProducts[[#This Row],[Rating]]="","Missing",IF(tblProducts[[#This Row],[Rating]]&lt;3,"Poor",IF(tblProducts[[#This Row],[Rating]]&lt;=4.5,"Average","Excellent")))</f>
        <v>Excellent</v>
      </c>
      <c r="H106" t="str">
        <f>IF(tblProducts[[#This Row],[Discount]]="","Missing",IF(tblProducts[[#This Row],[Discount]]&lt;20%,"Low Discount",IF(tblProducts[[#This Row],[Discount]]&lt;=40%,"Medium Discount","High Discount")))</f>
        <v>Medium Discount</v>
      </c>
      <c r="I106" s="2">
        <f>tblProducts[[#This Row],[old price (Ksh)]]-tblProducts[[#This Row],[Current price (Ksh)]]</f>
        <v>948</v>
      </c>
      <c r="J106">
        <f>IF(tblProducts[[#This Row],[Rating]]="","",tblProducts[[#This Row],[Rating]]+tblProducts[[#This Row],[Review]]/1000000+ROW()/100000000)</f>
        <v>5.0000020599999999</v>
      </c>
      <c r="K106" s="11">
        <f>IF(tblProducts[[#This Row],[Review]]="","",tblProducts[[#This Row],[Review]]+tblProducts[[#This Row],[Rating]]/1000)</f>
        <v>1.0049999999999999</v>
      </c>
      <c r="L106" s="11">
        <f>IF(tblProducts[[#This Row],[Discount]]="","",tblProducts[[#This Row],[Discount]]+tblProducts[[#This Row],[Review]]/1000000)</f>
        <v>0.21000099999999999</v>
      </c>
    </row>
    <row r="107" spans="1:12" x14ac:dyDescent="0.35">
      <c r="A107" t="s">
        <v>352</v>
      </c>
      <c r="B107" s="2">
        <v>1420</v>
      </c>
      <c r="C107" s="2">
        <v>2420</v>
      </c>
      <c r="D107" s="3">
        <v>0.41</v>
      </c>
      <c r="F107" t="s">
        <v>369</v>
      </c>
      <c r="G107" t="str">
        <f>IF(tblProducts[[#This Row],[Rating]]="","Missing",IF(tblProducts[[#This Row],[Rating]]&lt;3,"Poor",IF(tblProducts[[#This Row],[Rating]]&lt;=4.5,"Average","Excellent")))</f>
        <v>Missing</v>
      </c>
      <c r="H107" t="str">
        <f>IF(tblProducts[[#This Row],[Discount]]="","Missing",IF(tblProducts[[#This Row],[Discount]]&lt;20%,"Low Discount",IF(tblProducts[[#This Row],[Discount]]&lt;=40%,"Medium Discount","High Discount")))</f>
        <v>High Discount</v>
      </c>
      <c r="I107" s="2">
        <f>tblProducts[[#This Row],[old price (Ksh)]]-tblProducts[[#This Row],[Current price (Ksh)]]</f>
        <v>1000</v>
      </c>
      <c r="J107" t="str">
        <f>IF(tblProducts[[#This Row],[Rating]]="","",tblProducts[[#This Row],[Rating]]+tblProducts[[#This Row],[Review]]/1000000+ROW()/100000000)</f>
        <v/>
      </c>
      <c r="K107" s="11" t="str">
        <f>IF(tblProducts[[#This Row],[Review]]="","",tblProducts[[#This Row],[Review]]+tblProducts[[#This Row],[Rating]]/1000)</f>
        <v/>
      </c>
      <c r="L107" s="11">
        <f>IF(tblProducts[[#This Row],[Discount]]="","",tblProducts[[#This Row],[Discount]]+tblProducts[[#This Row],[Review]]/1000000)</f>
        <v>0.41</v>
      </c>
    </row>
    <row r="108" spans="1:12" x14ac:dyDescent="0.35">
      <c r="A108" t="s">
        <v>353</v>
      </c>
      <c r="B108" s="2">
        <v>1875</v>
      </c>
      <c r="C108" s="2">
        <v>1899</v>
      </c>
      <c r="D108" s="3">
        <v>0.01</v>
      </c>
      <c r="F108" t="s">
        <v>369</v>
      </c>
      <c r="G108" t="str">
        <f>IF(tblProducts[[#This Row],[Rating]]="","Missing",IF(tblProducts[[#This Row],[Rating]]&lt;3,"Poor",IF(tblProducts[[#This Row],[Rating]]&lt;=4.5,"Average","Excellent")))</f>
        <v>Missing</v>
      </c>
      <c r="H108" t="str">
        <f>IF(tblProducts[[#This Row],[Discount]]="","Missing",IF(tblProducts[[#This Row],[Discount]]&lt;20%,"Low Discount",IF(tblProducts[[#This Row],[Discount]]&lt;=40%,"Medium Discount","High Discount")))</f>
        <v>Low Discount</v>
      </c>
      <c r="I108" s="2">
        <f>tblProducts[[#This Row],[old price (Ksh)]]-tblProducts[[#This Row],[Current price (Ksh)]]</f>
        <v>24</v>
      </c>
      <c r="J108" t="str">
        <f>IF(tblProducts[[#This Row],[Rating]]="","",tblProducts[[#This Row],[Rating]]+tblProducts[[#This Row],[Review]]/1000000+ROW()/100000000)</f>
        <v/>
      </c>
      <c r="K108" s="11" t="str">
        <f>IF(tblProducts[[#This Row],[Review]]="","",tblProducts[[#This Row],[Review]]+tblProducts[[#This Row],[Rating]]/1000)</f>
        <v/>
      </c>
      <c r="L108" s="11">
        <f>IF(tblProducts[[#This Row],[Discount]]="","",tblProducts[[#This Row],[Discount]]+tblProducts[[#This Row],[Review]]/1000000)</f>
        <v>0.01</v>
      </c>
    </row>
    <row r="109" spans="1:12" x14ac:dyDescent="0.35">
      <c r="A109" t="s">
        <v>354</v>
      </c>
      <c r="B109" s="2">
        <v>198</v>
      </c>
      <c r="C109" s="2">
        <v>260</v>
      </c>
      <c r="D109" s="3">
        <v>0.24</v>
      </c>
      <c r="F109" t="s">
        <v>369</v>
      </c>
      <c r="G109" t="str">
        <f>IF(tblProducts[[#This Row],[Rating]]="","Missing",IF(tblProducts[[#This Row],[Rating]]&lt;3,"Poor",IF(tblProducts[[#This Row],[Rating]]&lt;=4.5,"Average","Excellent")))</f>
        <v>Missing</v>
      </c>
      <c r="H109" t="str">
        <f>IF(tblProducts[[#This Row],[Discount]]="","Missing",IF(tblProducts[[#This Row],[Discount]]&lt;20%,"Low Discount",IF(tblProducts[[#This Row],[Discount]]&lt;=40%,"Medium Discount","High Discount")))</f>
        <v>Medium Discount</v>
      </c>
      <c r="I109" s="2">
        <f>tblProducts[[#This Row],[old price (Ksh)]]-tblProducts[[#This Row],[Current price (Ksh)]]</f>
        <v>62</v>
      </c>
      <c r="J109" t="str">
        <f>IF(tblProducts[[#This Row],[Rating]]="","",tblProducts[[#This Row],[Rating]]+tblProducts[[#This Row],[Review]]/1000000+ROW()/100000000)</f>
        <v/>
      </c>
      <c r="K109" s="11" t="str">
        <f>IF(tblProducts[[#This Row],[Review]]="","",tblProducts[[#This Row],[Review]]+tblProducts[[#This Row],[Rating]]/1000)</f>
        <v/>
      </c>
      <c r="L109" s="11">
        <f>IF(tblProducts[[#This Row],[Discount]]="","",tblProducts[[#This Row],[Discount]]+tblProducts[[#This Row],[Review]]/1000000)</f>
        <v>0.24</v>
      </c>
    </row>
    <row r="110" spans="1:12" x14ac:dyDescent="0.35">
      <c r="A110" t="s">
        <v>364</v>
      </c>
      <c r="B110" s="2">
        <v>1150</v>
      </c>
      <c r="C110" s="2">
        <v>1737</v>
      </c>
      <c r="D110" s="3">
        <v>0.34</v>
      </c>
      <c r="F110" t="s">
        <v>369</v>
      </c>
      <c r="G110" t="str">
        <f>IF(tblProducts[[#This Row],[Rating]]="","Missing",IF(tblProducts[[#This Row],[Rating]]&lt;3,"Poor",IF(tblProducts[[#This Row],[Rating]]&lt;=4.5,"Average","Excellent")))</f>
        <v>Missing</v>
      </c>
      <c r="H110" t="str">
        <f>IF(tblProducts[[#This Row],[Discount]]="","Missing",IF(tblProducts[[#This Row],[Discount]]&lt;20%,"Low Discount",IF(tblProducts[[#This Row],[Discount]]&lt;=40%,"Medium Discount","High Discount")))</f>
        <v>Medium Discount</v>
      </c>
      <c r="I110" s="2">
        <f>tblProducts[[#This Row],[old price (Ksh)]]-tblProducts[[#This Row],[Current price (Ksh)]]</f>
        <v>587</v>
      </c>
      <c r="J110" t="str">
        <f>IF(tblProducts[[#This Row],[Rating]]="","",tblProducts[[#This Row],[Rating]]+tblProducts[[#This Row],[Review]]/1000000+ROW()/100000000)</f>
        <v/>
      </c>
      <c r="K110" s="11" t="str">
        <f>IF(tblProducts[[#This Row],[Review]]="","",tblProducts[[#This Row],[Review]]+tblProducts[[#This Row],[Rating]]/1000)</f>
        <v/>
      </c>
      <c r="L110" s="11">
        <f>IF(tblProducts[[#This Row],[Discount]]="","",tblProducts[[#This Row],[Discount]]+tblProducts[[#This Row],[Review]]/1000000)</f>
        <v>0.34</v>
      </c>
    </row>
    <row r="111" spans="1:12" x14ac:dyDescent="0.35">
      <c r="A111" t="s">
        <v>355</v>
      </c>
      <c r="B111" s="2">
        <v>1190</v>
      </c>
      <c r="C111" s="2">
        <v>1810</v>
      </c>
      <c r="D111" s="3">
        <v>0.34</v>
      </c>
      <c r="F111" t="s">
        <v>369</v>
      </c>
      <c r="G111" t="str">
        <f>IF(tblProducts[[#This Row],[Rating]]="","Missing",IF(tblProducts[[#This Row],[Rating]]&lt;3,"Poor",IF(tblProducts[[#This Row],[Rating]]&lt;=4.5,"Average","Excellent")))</f>
        <v>Missing</v>
      </c>
      <c r="H111" t="str">
        <f>IF(tblProducts[[#This Row],[Discount]]="","Missing",IF(tblProducts[[#This Row],[Discount]]&lt;20%,"Low Discount",IF(tblProducts[[#This Row],[Discount]]&lt;=40%,"Medium Discount","High Discount")))</f>
        <v>Medium Discount</v>
      </c>
      <c r="I111" s="2">
        <f>tblProducts[[#This Row],[old price (Ksh)]]-tblProducts[[#This Row],[Current price (Ksh)]]</f>
        <v>620</v>
      </c>
      <c r="J111" t="str">
        <f>IF(tblProducts[[#This Row],[Rating]]="","",tblProducts[[#This Row],[Rating]]+tblProducts[[#This Row],[Review]]/1000000+ROW()/100000000)</f>
        <v/>
      </c>
      <c r="K111" s="11" t="str">
        <f>IF(tblProducts[[#This Row],[Review]]="","",tblProducts[[#This Row],[Review]]+tblProducts[[#This Row],[Rating]]/1000)</f>
        <v/>
      </c>
      <c r="L111" s="11">
        <f>IF(tblProducts[[#This Row],[Discount]]="","",tblProducts[[#This Row],[Discount]]+tblProducts[[#This Row],[Review]]/1000000)</f>
        <v>0.34</v>
      </c>
    </row>
    <row r="112" spans="1:12" x14ac:dyDescent="0.35">
      <c r="A112" t="s">
        <v>312</v>
      </c>
      <c r="B112" s="2">
        <v>1658</v>
      </c>
      <c r="C112" s="2">
        <v>1699</v>
      </c>
      <c r="D112" s="3">
        <v>0.02</v>
      </c>
      <c r="F112" t="s">
        <v>369</v>
      </c>
      <c r="G112" t="str">
        <f>IF(tblProducts[[#This Row],[Rating]]="","Missing",IF(tblProducts[[#This Row],[Rating]]&lt;3,"Poor",IF(tblProducts[[#This Row],[Rating]]&lt;=4.5,"Average","Excellent")))</f>
        <v>Missing</v>
      </c>
      <c r="H112" t="str">
        <f>IF(tblProducts[[#This Row],[Discount]]="","Missing",IF(tblProducts[[#This Row],[Discount]]&lt;20%,"Low Discount",IF(tblProducts[[#This Row],[Discount]]&lt;=40%,"Medium Discount","High Discount")))</f>
        <v>Low Discount</v>
      </c>
      <c r="I112" s="2">
        <f>tblProducts[[#This Row],[old price (Ksh)]]-tblProducts[[#This Row],[Current price (Ksh)]]</f>
        <v>41</v>
      </c>
      <c r="J112" t="str">
        <f>IF(tblProducts[[#This Row],[Rating]]="","",tblProducts[[#This Row],[Rating]]+tblProducts[[#This Row],[Review]]/1000000+ROW()/100000000)</f>
        <v/>
      </c>
      <c r="K112" s="11" t="str">
        <f>IF(tblProducts[[#This Row],[Review]]="","",tblProducts[[#This Row],[Review]]+tblProducts[[#This Row],[Rating]]/1000)</f>
        <v/>
      </c>
      <c r="L112" s="11">
        <f>IF(tblProducts[[#This Row],[Discount]]="","",tblProducts[[#This Row],[Discount]]+tblProducts[[#This Row],[Review]]/1000000)</f>
        <v>0.02</v>
      </c>
    </row>
    <row r="113" spans="1:12" x14ac:dyDescent="0.35">
      <c r="A113" t="s">
        <v>314</v>
      </c>
      <c r="B113" s="2">
        <v>1768</v>
      </c>
      <c r="C113" s="2">
        <v>1799</v>
      </c>
      <c r="D113" s="3">
        <v>0.02</v>
      </c>
      <c r="F113" t="s">
        <v>369</v>
      </c>
      <c r="G113" t="str">
        <f>IF(tblProducts[[#This Row],[Rating]]="","Missing",IF(tblProducts[[#This Row],[Rating]]&lt;3,"Poor",IF(tblProducts[[#This Row],[Rating]]&lt;=4.5,"Average","Excellent")))</f>
        <v>Missing</v>
      </c>
      <c r="H113" t="str">
        <f>IF(tblProducts[[#This Row],[Discount]]="","Missing",IF(tblProducts[[#This Row],[Discount]]&lt;20%,"Low Discount",IF(tblProducts[[#This Row],[Discount]]&lt;=40%,"Medium Discount","High Discount")))</f>
        <v>Low Discount</v>
      </c>
      <c r="I113" s="2">
        <f>tblProducts[[#This Row],[old price (Ksh)]]-tblProducts[[#This Row],[Current price (Ksh)]]</f>
        <v>31</v>
      </c>
      <c r="J113" t="str">
        <f>IF(tblProducts[[#This Row],[Rating]]="","",tblProducts[[#This Row],[Rating]]+tblProducts[[#This Row],[Review]]/1000000+ROW()/100000000)</f>
        <v/>
      </c>
      <c r="K113" s="11" t="str">
        <f>IF(tblProducts[[#This Row],[Review]]="","",tblProducts[[#This Row],[Review]]+tblProducts[[#This Row],[Rating]]/1000)</f>
        <v/>
      </c>
      <c r="L113" s="11">
        <f>IF(tblProducts[[#This Row],[Discount]]="","",tblProducts[[#This Row],[Discount]]+tblProducts[[#This Row],[Review]]/1000000)</f>
        <v>0.02</v>
      </c>
    </row>
    <row r="114" spans="1:12" x14ac:dyDescent="0.35">
      <c r="A114" t="s">
        <v>316</v>
      </c>
      <c r="B114" s="2">
        <v>199</v>
      </c>
      <c r="C114" s="2">
        <v>553</v>
      </c>
      <c r="D114" s="3">
        <v>0.64</v>
      </c>
      <c r="F114" t="s">
        <v>369</v>
      </c>
      <c r="G114" t="str">
        <f>IF(tblProducts[[#This Row],[Rating]]="","Missing",IF(tblProducts[[#This Row],[Rating]]&lt;3,"Poor",IF(tblProducts[[#This Row],[Rating]]&lt;=4.5,"Average","Excellent")))</f>
        <v>Missing</v>
      </c>
      <c r="H114" t="str">
        <f>IF(tblProducts[[#This Row],[Discount]]="","Missing",IF(tblProducts[[#This Row],[Discount]]&lt;20%,"Low Discount",IF(tblProducts[[#This Row],[Discount]]&lt;=40%,"Medium Discount","High Discount")))</f>
        <v>High Discount</v>
      </c>
      <c r="I114" s="2">
        <f>tblProducts[[#This Row],[old price (Ksh)]]-tblProducts[[#This Row],[Current price (Ksh)]]</f>
        <v>354</v>
      </c>
      <c r="J114" t="str">
        <f>IF(tblProducts[[#This Row],[Rating]]="","",tblProducts[[#This Row],[Rating]]+tblProducts[[#This Row],[Review]]/1000000+ROW()/100000000)</f>
        <v/>
      </c>
      <c r="K114" s="11" t="str">
        <f>IF(tblProducts[[#This Row],[Review]]="","",tblProducts[[#This Row],[Review]]+tblProducts[[#This Row],[Rating]]/1000)</f>
        <v/>
      </c>
      <c r="L114" s="11">
        <f>IF(tblProducts[[#This Row],[Discount]]="","",tblProducts[[#This Row],[Discount]]+tblProducts[[#This Row],[Review]]/1000000)</f>
        <v>0.64</v>
      </c>
    </row>
    <row r="115" spans="1:12" x14ac:dyDescent="0.35">
      <c r="A115" t="s">
        <v>356</v>
      </c>
      <c r="B115" s="2">
        <v>450</v>
      </c>
      <c r="C115" s="2">
        <v>900</v>
      </c>
      <c r="D115" s="3">
        <v>0.5</v>
      </c>
      <c r="E115" s="4">
        <v>1</v>
      </c>
      <c r="F115">
        <v>2</v>
      </c>
      <c r="G115" t="str">
        <f>IF(tblProducts[[#This Row],[Rating]]="","Missing",IF(tblProducts[[#This Row],[Rating]]&lt;3,"Poor",IF(tblProducts[[#This Row],[Rating]]&lt;=4.5,"Average","Excellent")))</f>
        <v>Poor</v>
      </c>
      <c r="H115" t="str">
        <f>IF(tblProducts[[#This Row],[Discount]]="","Missing",IF(tblProducts[[#This Row],[Discount]]&lt;20%,"Low Discount",IF(tblProducts[[#This Row],[Discount]]&lt;=40%,"Medium Discount","High Discount")))</f>
        <v>High Discount</v>
      </c>
      <c r="I115" s="2">
        <f>tblProducts[[#This Row],[old price (Ksh)]]-tblProducts[[#This Row],[Current price (Ksh)]]</f>
        <v>450</v>
      </c>
      <c r="J115">
        <f>IF(tblProducts[[#This Row],[Rating]]="","",tblProducts[[#This Row],[Rating]]+tblProducts[[#This Row],[Review]]/1000000+ROW()/100000000)</f>
        <v>2.0000021500000003</v>
      </c>
      <c r="K115" s="11">
        <f>IF(tblProducts[[#This Row],[Review]]="","",tblProducts[[#This Row],[Review]]+tblProducts[[#This Row],[Rating]]/1000)</f>
        <v>1.002</v>
      </c>
      <c r="L115" s="11">
        <f>IF(tblProducts[[#This Row],[Discount]]="","",tblProducts[[#This Row],[Discount]]+tblProducts[[#This Row],[Review]]/1000000)</f>
        <v>0.50000100000000003</v>
      </c>
    </row>
    <row r="116" spans="1:12" x14ac:dyDescent="0.35">
      <c r="A116" t="s">
        <v>320</v>
      </c>
      <c r="B116" s="2">
        <v>169</v>
      </c>
      <c r="C116" s="2">
        <v>320</v>
      </c>
      <c r="D116" s="3">
        <v>0.47</v>
      </c>
      <c r="F116" t="s">
        <v>369</v>
      </c>
      <c r="G116" t="str">
        <f>IF(tblProducts[[#This Row],[Rating]]="","Missing",IF(tblProducts[[#This Row],[Rating]]&lt;3,"Poor",IF(tblProducts[[#This Row],[Rating]]&lt;=4.5,"Average","Excellent")))</f>
        <v>Missing</v>
      </c>
      <c r="H116" t="str">
        <f>IF(tblProducts[[#This Row],[Discount]]="","Missing",IF(tblProducts[[#This Row],[Discount]]&lt;20%,"Low Discount",IF(tblProducts[[#This Row],[Discount]]&lt;=40%,"Medium Discount","High Discount")))</f>
        <v>High Discount</v>
      </c>
      <c r="I116" s="2">
        <f>tblProducts[[#This Row],[old price (Ksh)]]-tblProducts[[#This Row],[Current price (Ksh)]]</f>
        <v>151</v>
      </c>
      <c r="J116" t="str">
        <f>IF(tblProducts[[#This Row],[Rating]]="","",tblProducts[[#This Row],[Rating]]+tblProducts[[#This Row],[Review]]/1000000+ROW()/100000000)</f>
        <v/>
      </c>
      <c r="K116" s="11" t="str">
        <f>IF(tblProducts[[#This Row],[Review]]="","",tblProducts[[#This Row],[Review]]+tblProducts[[#This Row],[Rating]]/1000)</f>
        <v/>
      </c>
      <c r="L116" s="11">
        <f>IF(tblProducts[[#This Row],[Discount]]="","",tblProducts[[#This Row],[Discount]]+tblProducts[[#This Row],[Review]]/1000000)</f>
        <v>0.47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0EDD8-82BF-4CAA-AD59-55507E594758}">
  <dimension ref="A1:N53"/>
  <sheetViews>
    <sheetView workbookViewId="0">
      <selection activeCell="B8" sqref="B8"/>
    </sheetView>
  </sheetViews>
  <sheetFormatPr defaultRowHeight="14.5" x14ac:dyDescent="0.35"/>
  <cols>
    <col min="1" max="1" width="27.6328125" customWidth="1"/>
    <col min="2" max="2" width="10.453125" customWidth="1"/>
    <col min="3" max="3" width="16.7265625" customWidth="1"/>
    <col min="4" max="5" width="13.453125" customWidth="1"/>
    <col min="9" max="9" width="18" customWidth="1"/>
    <col min="10" max="10" width="11.26953125" customWidth="1"/>
    <col min="11" max="11" width="21.08984375" customWidth="1"/>
    <col min="13" max="13" width="13.6328125" customWidth="1"/>
  </cols>
  <sheetData>
    <row r="1" spans="1:14" x14ac:dyDescent="0.35">
      <c r="A1" s="10" t="s">
        <v>376</v>
      </c>
      <c r="B1" s="10" t="s">
        <v>389</v>
      </c>
      <c r="C1" s="10"/>
      <c r="D1" s="10"/>
      <c r="I1" s="20" t="s">
        <v>484</v>
      </c>
      <c r="J1" s="21"/>
      <c r="K1" s="21"/>
      <c r="L1" s="21"/>
    </row>
    <row r="2" spans="1:14" x14ac:dyDescent="0.35">
      <c r="A2" t="s">
        <v>375</v>
      </c>
      <c r="B2">
        <f>ROWS(tblProducts[Product])</f>
        <v>115</v>
      </c>
      <c r="I2" s="19" t="s">
        <v>0</v>
      </c>
      <c r="J2" s="19" t="s">
        <v>3</v>
      </c>
      <c r="K2" s="19" t="s">
        <v>485</v>
      </c>
      <c r="L2" s="19" t="s">
        <v>368</v>
      </c>
      <c r="M2" s="19" t="s">
        <v>486</v>
      </c>
      <c r="N2" s="10"/>
    </row>
    <row r="3" spans="1:14" ht="58" x14ac:dyDescent="0.35">
      <c r="A3" t="s">
        <v>377</v>
      </c>
      <c r="B3">
        <f>AVERAGE(tblProducts[Current price (Ksh)])</f>
        <v>1172.7913043478261</v>
      </c>
      <c r="I3" s="15" t="str" cm="1">
        <f t="array" ref="I3:I24">_xlfn._xlws.FILTER(tblProducts[Product],(tblProducts[Discount category]="High Discount")*(tblProducts[Rating category]&lt;&gt;"Excellent")*(tblProducts[Rating category]&lt;&gt;"Missing"))</f>
        <v>Metal Decorative Hooks Key Hangers Entryway Wall Hooks Towel Hooks - Home</v>
      </c>
      <c r="J3" s="15" cm="1">
        <f t="array" ref="J3:J24">_xlfn._xlws.FILTER(tblProducts[Discount],(tblProducts[Discount category]="High Discount")*(tblProducts[Rating category]&lt;&gt;"Excellent")*(tblProducts[Rating category]&lt;&gt;"Missing"))</f>
        <v>0.47</v>
      </c>
      <c r="K3" t="str" cm="1">
        <f t="array" ref="K3:K24">_xlfn._xlws.FILTER(tblProducts[Discount category],(tblProducts[Discount category]="High Discount")*(tblProducts[Rating category]&lt;&gt;"Excellent")*(tblProducts[Rating category]&lt;&gt;"Missing"))</f>
        <v>High Discount</v>
      </c>
      <c r="L3" s="15" cm="1">
        <f t="array" ref="L3:L24">_xlfn._xlws.FILTER(tblProducts[Rating],(tblProducts[Discount category]="High Discount")*(tblProducts[Rating category]&lt;&gt;"Excellent")*(tblProducts[Rating category]&lt;&gt;"Missing"))</f>
        <v>4.0999999999999996</v>
      </c>
      <c r="M3" t="str" cm="1">
        <f t="array" ref="M3:M24">_xlfn._xlws.FILTER(tblProducts[Rating category],(tblProducts[Discount category]="High Discount")*(tblProducts[Rating category]&lt;&gt;"Excellent")*(tblProducts[Rating category]&lt;&gt;"Missing"))</f>
        <v>Average</v>
      </c>
    </row>
    <row r="4" spans="1:14" ht="29" x14ac:dyDescent="0.35">
      <c r="A4" t="s">
        <v>378</v>
      </c>
      <c r="B4">
        <f>AVERAGE(tblProducts[Discount])</f>
        <v>0.36956521739130432</v>
      </c>
      <c r="I4" s="15" t="str">
        <v>13 In 1 Home Repair Tools Box Kit Set</v>
      </c>
      <c r="J4" s="15">
        <v>0.45</v>
      </c>
      <c r="K4" t="str">
        <v>High Discount</v>
      </c>
      <c r="L4" s="15">
        <v>3.8</v>
      </c>
      <c r="M4" t="str">
        <v>Average</v>
      </c>
    </row>
    <row r="5" spans="1:14" ht="43.5" x14ac:dyDescent="0.35">
      <c r="A5" t="s">
        <v>379</v>
      </c>
      <c r="B5">
        <f>AVERAGE(tblProducts[Rating])</f>
        <v>3.8894736842105258</v>
      </c>
      <c r="I5" s="15" t="str">
        <v>Lasa Digital Thermometer And Hydrometer</v>
      </c>
      <c r="J5" s="15">
        <v>0.42</v>
      </c>
      <c r="K5" t="str">
        <v>High Discount</v>
      </c>
      <c r="L5" s="15">
        <v>4.5</v>
      </c>
      <c r="M5" t="str">
        <v>Average</v>
      </c>
    </row>
    <row r="6" spans="1:14" ht="43.5" x14ac:dyDescent="0.35">
      <c r="A6" t="s">
        <v>380</v>
      </c>
      <c r="B6">
        <f>SUM(tblProducts[Review])</f>
        <v>723</v>
      </c>
      <c r="I6" s="15" t="str">
        <v>3Pcs Single Head Knitting Crochet Sweater Needle Set</v>
      </c>
      <c r="J6" s="15">
        <v>0.53</v>
      </c>
      <c r="K6" t="str">
        <v>High Discount</v>
      </c>
      <c r="L6" s="15">
        <v>3.3</v>
      </c>
      <c r="M6" t="str">
        <v>Average</v>
      </c>
    </row>
    <row r="7" spans="1:14" ht="14.5" customHeight="1" x14ac:dyDescent="0.35">
      <c r="A7" t="s">
        <v>484</v>
      </c>
      <c r="B7" s="4">
        <f>COUNTIFS(tblProducts[Discount category],"High Discount",tblProducts[Rating category],"&lt;&gt;Excellent",tblProducts[Rating category],"&lt;&gt;Missing")</f>
        <v>22</v>
      </c>
      <c r="I7" s="15" t="str">
        <v>Lasa 3 Tier Bamboo Shoe Bench Storage Shelf</v>
      </c>
      <c r="J7" s="15">
        <v>0.54</v>
      </c>
      <c r="K7" t="str">
        <v>High Discount</v>
      </c>
      <c r="L7" s="15">
        <v>4.3</v>
      </c>
      <c r="M7" t="str">
        <v>Average</v>
      </c>
    </row>
    <row r="8" spans="1:14" ht="43.5" x14ac:dyDescent="0.35">
      <c r="I8" s="15" t="str">
        <v>Exfoliate And Exfoliate Face Towel - Black</v>
      </c>
      <c r="J8" s="15">
        <v>0.52</v>
      </c>
      <c r="K8" t="str">
        <v>High Discount</v>
      </c>
      <c r="L8" s="15">
        <v>4.3</v>
      </c>
      <c r="M8" t="str">
        <v>Average</v>
      </c>
    </row>
    <row r="9" spans="1:14" ht="58" x14ac:dyDescent="0.35">
      <c r="A9" s="10" t="s">
        <v>381</v>
      </c>
      <c r="B9" t="s">
        <v>389</v>
      </c>
      <c r="I9" s="15" t="str">
        <v>LED Eye Protection Desk Lamp , Study, Reading, USB Fan - Double Pen Holder</v>
      </c>
      <c r="J9" s="15">
        <v>0.48</v>
      </c>
      <c r="K9" t="str">
        <v>High Discount</v>
      </c>
      <c r="L9" s="15">
        <v>4.3</v>
      </c>
      <c r="M9" t="str">
        <v>Average</v>
      </c>
    </row>
    <row r="10" spans="1:14" ht="72.5" x14ac:dyDescent="0.35">
      <c r="A10" t="s">
        <v>384</v>
      </c>
      <c r="B10">
        <f>CORREL(tblProducts[Discount],tblProducts[Review])</f>
        <v>-0.13682272428088296</v>
      </c>
      <c r="I10" s="15" t="str">
        <v>Punch-Free Great Load Bearing Bathroom Storage Rack Wall Shelf-White</v>
      </c>
      <c r="J10" s="15">
        <v>0.41</v>
      </c>
      <c r="K10" t="str">
        <v>High Discount</v>
      </c>
      <c r="L10" s="15">
        <v>4.3</v>
      </c>
      <c r="M10" t="str">
        <v>Average</v>
      </c>
    </row>
    <row r="11" spans="1:14" ht="58" x14ac:dyDescent="0.35">
      <c r="A11" t="s">
        <v>382</v>
      </c>
      <c r="B11">
        <f>CORREL(tblProducts[Rating],tblProducts[Review])</f>
        <v>5.7209035119876482E-2</v>
      </c>
      <c r="I11" s="15" t="str">
        <v>Mythco 120Cob Solar Wall Ligt With Motion Sensor And Remote Control 3 Modes</v>
      </c>
      <c r="J11" s="15">
        <v>0.54</v>
      </c>
      <c r="K11" t="str">
        <v>High Discount</v>
      </c>
      <c r="L11" s="15">
        <v>3</v>
      </c>
      <c r="M11" t="str">
        <v>Average</v>
      </c>
    </row>
    <row r="12" spans="1:14" ht="43.5" x14ac:dyDescent="0.35">
      <c r="A12" t="s">
        <v>383</v>
      </c>
      <c r="B12">
        <f>CORREL(tblProducts[Current price (Ksh)],tblProducts[Rating])</f>
        <v>0.10797680009158267</v>
      </c>
      <c r="I12" s="15" t="str">
        <v>5-Pcs Stainless Steel Cooking Pot Set With Steamed Slices</v>
      </c>
      <c r="J12" s="15">
        <v>0.55000000000000004</v>
      </c>
      <c r="K12" t="str">
        <v>High Discount</v>
      </c>
      <c r="L12" s="15">
        <v>2.1</v>
      </c>
      <c r="M12" t="str">
        <v>Poor</v>
      </c>
    </row>
    <row r="13" spans="1:14" ht="58" x14ac:dyDescent="0.35">
      <c r="I13" s="15" t="str">
        <v>120W Cordless Vacuum Cleaners Handheld Electric Vacuum Cleaner</v>
      </c>
      <c r="J13" s="15">
        <v>0.49</v>
      </c>
      <c r="K13" t="str">
        <v>High Discount</v>
      </c>
      <c r="L13" s="15">
        <v>2.8</v>
      </c>
      <c r="M13" t="str">
        <v>Poor</v>
      </c>
    </row>
    <row r="14" spans="1:14" ht="58" x14ac:dyDescent="0.35">
      <c r="A14" s="10" t="s">
        <v>385</v>
      </c>
      <c r="I14" s="15" t="str">
        <v>Intelligent LED Body Sensor Wireless Lighting Night Light USB</v>
      </c>
      <c r="J14" s="15">
        <v>0.52</v>
      </c>
      <c r="K14" t="str">
        <v>High Discount</v>
      </c>
      <c r="L14" s="15">
        <v>2.7</v>
      </c>
      <c r="M14" t="str">
        <v>Poor</v>
      </c>
    </row>
    <row r="15" spans="1:14" ht="58" x14ac:dyDescent="0.35">
      <c r="A15" t="s">
        <v>386</v>
      </c>
      <c r="B15" t="s">
        <v>0</v>
      </c>
      <c r="C15" t="s">
        <v>368</v>
      </c>
      <c r="D15" t="s">
        <v>388</v>
      </c>
      <c r="I15" s="15" t="str">
        <v>Artificial Potted Flowers Room Decorative Flowers (2 Pieces)</v>
      </c>
      <c r="J15" s="15">
        <v>0.45</v>
      </c>
      <c r="K15" t="str">
        <v>High Discount</v>
      </c>
      <c r="L15" s="15">
        <v>2.2000000000000002</v>
      </c>
      <c r="M15" t="str">
        <v>Poor</v>
      </c>
    </row>
    <row r="16" spans="1:14" ht="58" x14ac:dyDescent="0.35">
      <c r="A16">
        <v>1</v>
      </c>
      <c r="B16" t="str">
        <f>INDEX(tblProducts[Product],MATCH(C16,tblProducts[Rating Rank Key],0))</f>
        <v>Lasa Aluminum Folding Truck Hand Cart - 68Kg Max</v>
      </c>
      <c r="C16">
        <f>LARGE(tblProducts[Rating Rank Key],A16)</f>
        <v>5.0000031900000002</v>
      </c>
      <c r="D16">
        <f>INDEX(tblProducts[Rating],MATCH(C16,tblProducts[Rating Rank Key],0))</f>
        <v>5</v>
      </c>
      <c r="I16" s="15" t="str">
        <v>380Ml USB Rechargeable Portable Small Blenders And Juicers</v>
      </c>
      <c r="J16" s="15">
        <v>0.5</v>
      </c>
      <c r="K16" t="str">
        <v>High Discount</v>
      </c>
      <c r="L16" s="15">
        <v>2.2999999999999998</v>
      </c>
      <c r="M16" t="str">
        <v>Poor</v>
      </c>
    </row>
    <row r="17" spans="1:13" ht="58" x14ac:dyDescent="0.35">
      <c r="A17">
        <v>2</v>
      </c>
      <c r="B17" t="str">
        <f>INDEX(tblProducts[Product],MATCH(C17,tblProducts[Rating Rank Key],0))</f>
        <v>Classic Black Cat Cotton Hemp Pillow Case For Home Car</v>
      </c>
      <c r="C17">
        <f>LARGE(tblProducts[Rating Rank Key],A17)</f>
        <v>5.0000023800000006</v>
      </c>
      <c r="D17">
        <f>INDEX(tblProducts[Rating],MATCH(C17,tblProducts[Rating Rank Key],0))</f>
        <v>5</v>
      </c>
      <c r="I17" s="15" t="str">
        <v>Agapeon Toothbrush Holder And Toothpaste Dispenser</v>
      </c>
      <c r="J17" s="15">
        <v>0.45</v>
      </c>
      <c r="K17" t="str">
        <v>High Discount</v>
      </c>
      <c r="L17" s="15">
        <v>2.6</v>
      </c>
      <c r="M17" t="str">
        <v>Poor</v>
      </c>
    </row>
    <row r="18" spans="1:13" ht="43.5" x14ac:dyDescent="0.35">
      <c r="A18">
        <v>3</v>
      </c>
      <c r="B18" t="str">
        <f>INDEX(tblProducts[Product],MATCH(C18,tblProducts[Rating Rank Key],0))</f>
        <v>Peacock Throw Pillow Cushion Case For Home Car</v>
      </c>
      <c r="C18">
        <f>LARGE(tblProducts[Rating Rank Key],A18)</f>
        <v>5.0000021800000001</v>
      </c>
      <c r="D18">
        <f>INDEX(tblProducts[Rating],MATCH(C18,tblProducts[Rating Rank Key],0))</f>
        <v>5</v>
      </c>
      <c r="I18" s="15" t="str">
        <v>Watercolour Gold Foil Textured Print Pillow Cover</v>
      </c>
      <c r="J18" s="15">
        <v>0.43</v>
      </c>
      <c r="K18" t="str">
        <v>High Discount</v>
      </c>
      <c r="L18" s="15">
        <v>2.2999999999999998</v>
      </c>
      <c r="M18" t="str">
        <v>Poor</v>
      </c>
    </row>
    <row r="19" spans="1:13" ht="58" x14ac:dyDescent="0.35">
      <c r="A19">
        <v>4</v>
      </c>
      <c r="B19" t="str">
        <f>INDEX(tblProducts[Product],MATCH(C19,tblProducts[Rating Rank Key],0))</f>
        <v>Anti-Skid Absorbent Insulation Coaster For Home Office</v>
      </c>
      <c r="C19">
        <f>LARGE(tblProducts[Rating Rank Key],A19)</f>
        <v>5.0000021700000001</v>
      </c>
      <c r="D19">
        <f>INDEX(tblProducts[Rating],MATCH(C19,tblProducts[Rating Rank Key],0))</f>
        <v>5</v>
      </c>
      <c r="I19" s="15" t="str">
        <v>Wrought Iron Bathroom Shelf Wall Mounted Free Punch Toilet Rack</v>
      </c>
      <c r="J19" s="15">
        <v>0.43</v>
      </c>
      <c r="K19" t="str">
        <v>High Discount</v>
      </c>
      <c r="L19" s="15">
        <v>3</v>
      </c>
      <c r="M19" t="str">
        <v>Average</v>
      </c>
    </row>
    <row r="20" spans="1:13" ht="58" x14ac:dyDescent="0.35">
      <c r="A20">
        <v>5</v>
      </c>
      <c r="B20" t="str">
        <f>INDEX(tblProducts[Product],MATCH(C20,tblProducts[Rating Rank Key],0))</f>
        <v>Konka Healty Electric Kettle, 24-Hour Heat Preservation,1.5L,800W, White</v>
      </c>
      <c r="C20">
        <f>LARGE(tblProducts[Rating Rank Key],A20)</f>
        <v>5.0000020599999999</v>
      </c>
      <c r="D20">
        <f>INDEX(tblProducts[Rating],MATCH(C20,tblProducts[Rating Rank Key],0))</f>
        <v>5</v>
      </c>
      <c r="I20" s="15" t="str">
        <v>7-Piece Set Of Storage Bags, Travel Storage Bags, Shoe Bags</v>
      </c>
      <c r="J20" s="15">
        <v>0.47</v>
      </c>
      <c r="K20" t="str">
        <v>High Discount</v>
      </c>
      <c r="L20" s="15">
        <v>2.2000000000000002</v>
      </c>
      <c r="M20" t="str">
        <v>Poor</v>
      </c>
    </row>
    <row r="21" spans="1:13" ht="72.5" x14ac:dyDescent="0.35">
      <c r="A21">
        <v>6</v>
      </c>
      <c r="B21" t="str">
        <f>INDEX(tblProducts[Product],MATCH(C21,tblProducts[Rating Rank Key],0))</f>
        <v>Bedroom Simple Floor Hanging Clothes Rack Single Pole Hat Rack - White</v>
      </c>
      <c r="C21">
        <f>LARGE(tblProducts[Rating Rank Key],A21)</f>
        <v>5.0000018200000005</v>
      </c>
      <c r="D21">
        <f>INDEX(tblProducts[Rating],MATCH(C21,tblProducts[Rating Rank Key],0))</f>
        <v>5</v>
      </c>
      <c r="I21" s="15" t="str">
        <v>Electric LED UV Mosquito Killer Lamp, Outdoor/Indoor Fly Killer Trap Light -USB</v>
      </c>
      <c r="J21" s="15">
        <v>0.47</v>
      </c>
      <c r="K21" t="str">
        <v>High Discount</v>
      </c>
      <c r="L21" s="15">
        <v>2.1</v>
      </c>
      <c r="M21" t="str">
        <v>Poor</v>
      </c>
    </row>
    <row r="22" spans="1:13" ht="58" x14ac:dyDescent="0.35">
      <c r="A22">
        <v>7</v>
      </c>
      <c r="B22" t="str">
        <f>INDEX(tblProducts[Product],MATCH(C22,tblProducts[Rating Rank Key],0))</f>
        <v>DIY File Folder, Office Drawer File Holder, Pen Holder, Desktop Storage Rack</v>
      </c>
      <c r="C22">
        <f>LARGE(tblProducts[Rating Rank Key],A22)</f>
        <v>5.0000013700000006</v>
      </c>
      <c r="D22">
        <f>INDEX(tblProducts[Rating],MATCH(C22,tblProducts[Rating Rank Key],0))</f>
        <v>5</v>
      </c>
      <c r="I22" s="15" t="str">
        <v>Memory Foam Neck Pillow Cover, With Pillow Core - 50*30Cm</v>
      </c>
      <c r="J22" s="15">
        <v>0.46</v>
      </c>
      <c r="K22" t="str">
        <v>High Discount</v>
      </c>
      <c r="L22" s="15">
        <v>3</v>
      </c>
      <c r="M22" t="str">
        <v>Average</v>
      </c>
    </row>
    <row r="23" spans="1:13" ht="29" x14ac:dyDescent="0.35">
      <c r="A23">
        <v>8</v>
      </c>
      <c r="B23" t="str">
        <f>INDEX(tblProducts[Product],MATCH(C23,tblProducts[Rating Rank Key],0))</f>
        <v>40Cm Gold DIY Acrylic Wall Sticker Clock</v>
      </c>
      <c r="C23">
        <f>LARGE(tblProducts[Rating Rank Key],A23)</f>
        <v>4.8000121399999998</v>
      </c>
      <c r="D23">
        <f>INDEX(tblProducts[Rating],MATCH(C23,tblProducts[Rating Rank Key],0))</f>
        <v>4.8</v>
      </c>
      <c r="I23" s="15" t="str">
        <v>Household Pineapple Peeler Peeler</v>
      </c>
      <c r="J23" s="15">
        <v>0.49</v>
      </c>
      <c r="K23" t="str">
        <v>High Discount</v>
      </c>
      <c r="L23" s="15">
        <v>4</v>
      </c>
      <c r="M23" t="str">
        <v>Average</v>
      </c>
    </row>
    <row r="24" spans="1:13" ht="43.5" x14ac:dyDescent="0.35">
      <c r="A24">
        <v>9</v>
      </c>
      <c r="B24" t="str">
        <f>INDEX(tblProducts[Product],MATCH(C24,tblProducts[Rating Rank Key],0))</f>
        <v>Lasa Folding Table Serving Stand</v>
      </c>
      <c r="C24">
        <f>LARGE(tblProducts[Rating Rank Key],A24)</f>
        <v>4.8000050999999999</v>
      </c>
      <c r="D24">
        <f>INDEX(tblProducts[Rating],MATCH(C24,tblProducts[Rating Rank Key],0))</f>
        <v>4.8</v>
      </c>
      <c r="I24" s="15" t="str">
        <v>Wall-Mounted Sticker Punch-Free Plug Fixer</v>
      </c>
      <c r="J24" s="15">
        <v>0.5</v>
      </c>
      <c r="K24" t="str">
        <v>High Discount</v>
      </c>
      <c r="L24" s="15">
        <v>2</v>
      </c>
      <c r="M24" t="str">
        <v>Poor</v>
      </c>
    </row>
    <row r="25" spans="1:13" x14ac:dyDescent="0.35">
      <c r="A25">
        <v>10</v>
      </c>
      <c r="B25" t="str">
        <f>INDEX(tblProducts[Product],MATCH(C25,tblProducts[Rating Rank Key],0))</f>
        <v>Portable Home Small Air Humidifier 3-Speed Fan - Green</v>
      </c>
      <c r="C25">
        <f>LARGE(tblProducts[Rating Rank Key],A25)</f>
        <v>4.8000050599999993</v>
      </c>
      <c r="D25">
        <f>INDEX(tblProducts[Rating],MATCH(C25,tblProducts[Rating Rank Key],0))</f>
        <v>4.8</v>
      </c>
      <c r="I25" s="15"/>
      <c r="J25" s="15"/>
      <c r="L25" s="15"/>
    </row>
    <row r="27" spans="1:13" x14ac:dyDescent="0.35">
      <c r="A27" s="10"/>
    </row>
    <row r="28" spans="1:13" x14ac:dyDescent="0.35">
      <c r="A28" s="10" t="s">
        <v>390</v>
      </c>
    </row>
    <row r="29" spans="1:13" x14ac:dyDescent="0.35">
      <c r="A29" t="s">
        <v>386</v>
      </c>
      <c r="B29" t="s">
        <v>391</v>
      </c>
      <c r="C29" t="s">
        <v>393</v>
      </c>
      <c r="D29" t="s">
        <v>394</v>
      </c>
    </row>
    <row r="30" spans="1:13" x14ac:dyDescent="0.35">
      <c r="A30">
        <v>1</v>
      </c>
      <c r="B30" t="str">
        <f>INDEX(tblProducts[Product],MATCH(C30,tblProducts[Review Rank key],0))</f>
        <v>120W Cordless Vacuum Cleaners Handheld Electric Vacuum Cleaner</v>
      </c>
      <c r="C30">
        <f>LARGE(tblProducts[Review Rank key],A30)</f>
        <v>69.002799999999993</v>
      </c>
      <c r="D30">
        <f>INDEX(tblProducts[Review],MATCH(C30,tblProducts[Review Rank key],0))</f>
        <v>69</v>
      </c>
    </row>
    <row r="31" spans="1:13" x14ac:dyDescent="0.35">
      <c r="A31">
        <v>2</v>
      </c>
      <c r="B31" t="str">
        <f>INDEX(tblProducts[Product],MATCH(C31,tblProducts[Review Rank key],0))</f>
        <v>137 Pieces Cake Decorating Tool Set Baking Supplies</v>
      </c>
      <c r="C31">
        <f>LARGE(tblProducts[Review Rank key],A31)</f>
        <v>55.004600000000003</v>
      </c>
      <c r="D31">
        <f>INDEX(tblProducts[Review],MATCH(C31,tblProducts[Review Rank key],0))</f>
        <v>55</v>
      </c>
    </row>
    <row r="32" spans="1:13" x14ac:dyDescent="0.35">
      <c r="A32">
        <v>3</v>
      </c>
      <c r="B32" t="str">
        <f>INDEX(tblProducts[Product],MATCH(C32,tblProducts[Review Rank key],0))</f>
        <v>Electronic Digital Display Vernier Caliper</v>
      </c>
      <c r="C32">
        <f>LARGE(tblProducts[Review Rank key],A32)</f>
        <v>49.004600000000003</v>
      </c>
      <c r="D32">
        <f>INDEX(tblProducts[Review],MATCH(C32,tblProducts[Review Rank key],0))</f>
        <v>49</v>
      </c>
    </row>
    <row r="33" spans="1:4" x14ac:dyDescent="0.35">
      <c r="A33">
        <v>4</v>
      </c>
      <c r="B33" t="str">
        <f>INDEX(tblProducts[Product],MATCH(C33,tblProducts[Review Rank key],0))</f>
        <v>3D Waterproof EVA Plastic Shower Curtain 1.8*2Mtrs</v>
      </c>
      <c r="C33">
        <f>LARGE(tblProducts[Review Rank key],A33)</f>
        <v>44.004600000000003</v>
      </c>
      <c r="D33">
        <f>INDEX(tblProducts[Review],MATCH(C33,tblProducts[Review Rank key],0))</f>
        <v>44</v>
      </c>
    </row>
    <row r="34" spans="1:4" x14ac:dyDescent="0.35">
      <c r="A34">
        <v>5</v>
      </c>
      <c r="B34" t="str">
        <f>INDEX(tblProducts[Product],MATCH(C34,tblProducts[Review Rank key],0))</f>
        <v>100 Pcs Crochet Hook Tool Set Knitting Hook Set With Box</v>
      </c>
      <c r="C34">
        <f>LARGE(tblProducts[Review Rank key],A34)</f>
        <v>39.0047</v>
      </c>
      <c r="D34">
        <f>INDEX(tblProducts[Review],MATCH(C34,tblProducts[Review Rank key],0))</f>
        <v>39</v>
      </c>
    </row>
    <row r="35" spans="1:4" x14ac:dyDescent="0.35">
      <c r="A35">
        <v>6</v>
      </c>
      <c r="B35" t="str">
        <f>INDEX(tblProducts[Product],MATCH(C35,tblProducts[Review Rank key],0))</f>
        <v>Punch-Free Great Load Bearing Bathroom Storage Rack Wall Shelf-White</v>
      </c>
      <c r="C35">
        <f>LARGE(tblProducts[Review Rank key],A35)</f>
        <v>36.004300000000001</v>
      </c>
      <c r="D35">
        <f>INDEX(tblProducts[Review],MATCH(C35,tblProducts[Review Rank key],0))</f>
        <v>36</v>
      </c>
    </row>
    <row r="36" spans="1:4" x14ac:dyDescent="0.35">
      <c r="A36">
        <v>7</v>
      </c>
      <c r="B36" t="str">
        <f>INDEX(tblProducts[Product],MATCH(C36,tblProducts[Review Rank key],0))</f>
        <v>53 Pieces/Set Yarn Knitting Crochet Hooks With Bag - Pansies</v>
      </c>
      <c r="C36">
        <f>LARGE(tblProducts[Review Rank key],A36)</f>
        <v>32.0045</v>
      </c>
      <c r="D36">
        <f>INDEX(tblProducts[Review],MATCH(C36,tblProducts[Review Rank key],0))</f>
        <v>32</v>
      </c>
    </row>
    <row r="37" spans="1:4" x14ac:dyDescent="0.35">
      <c r="A37">
        <v>8</v>
      </c>
      <c r="B37" t="str">
        <f>INDEX(tblProducts[Product],MATCH(C37,tblProducts[Review Rank key],0))</f>
        <v>Portable Mini Cordless Car Vacuum Cleaner - Blue</v>
      </c>
      <c r="C37">
        <f>LARGE(tblProducts[Review Rank key],A37)</f>
        <v>24.0046</v>
      </c>
      <c r="D37">
        <f>INDEX(tblProducts[Review],MATCH(C37,tblProducts[Review Rank key],0))</f>
        <v>24</v>
      </c>
    </row>
    <row r="38" spans="1:4" x14ac:dyDescent="0.35">
      <c r="A38">
        <v>9</v>
      </c>
      <c r="B38" t="str">
        <f>INDEX(tblProducts[Product],MATCH(C38,tblProducts[Review Rank key],0))</f>
        <v>53Pcs/Set Yarn Knitting Crochet Hooks With Bag - Fortune Cat</v>
      </c>
      <c r="C38">
        <f>LARGE(tblProducts[Review Rank key],A38)</f>
        <v>20.0047</v>
      </c>
      <c r="D38">
        <f>INDEX(tblProducts[Review],MATCH(C38,tblProducts[Review Rank key],0))</f>
        <v>20</v>
      </c>
    </row>
    <row r="39" spans="1:4" x14ac:dyDescent="0.35">
      <c r="A39">
        <v>10</v>
      </c>
      <c r="B39" t="str">
        <f>INDEX(tblProducts[Product],MATCH(C39,tblProducts[Review Rank key],0))</f>
        <v>52 Pieces Cake Decorating Tool Set Gift Kit Baking Supplies</v>
      </c>
      <c r="C39">
        <f>LARGE(tblProducts[Review Rank key],A39)</f>
        <v>20.004100000000001</v>
      </c>
      <c r="D39">
        <f>INDEX(tblProducts[Review],MATCH(C39,tblProducts[Review Rank key],0))</f>
        <v>20</v>
      </c>
    </row>
    <row r="42" spans="1:4" x14ac:dyDescent="0.35">
      <c r="A42" s="10" t="s">
        <v>395</v>
      </c>
      <c r="B42" t="s">
        <v>399</v>
      </c>
      <c r="C42" t="s">
        <v>400</v>
      </c>
      <c r="D42" t="s">
        <v>401</v>
      </c>
    </row>
    <row r="43" spans="1:4" x14ac:dyDescent="0.35">
      <c r="A43" t="s">
        <v>386</v>
      </c>
      <c r="B43" t="s">
        <v>0</v>
      </c>
      <c r="C43" t="s">
        <v>396</v>
      </c>
      <c r="D43" t="s">
        <v>397</v>
      </c>
    </row>
    <row r="44" spans="1:4" x14ac:dyDescent="0.35">
      <c r="A44">
        <v>1</v>
      </c>
      <c r="B44" t="str">
        <f>INDEX(tblProducts[Product],MATCH(C44,tblProducts[Discount Rank Key],0))</f>
        <v>6 In 1 Bottle Can Opener Multifunctional Easy Opener</v>
      </c>
      <c r="C44">
        <f>LARGE(tblProducts[Discount Rank Key],A44)</f>
        <v>0.64</v>
      </c>
      <c r="D44">
        <f>INDEX(tblProducts[Discount],MATCH(C44,tblProducts[Discount Rank Key],0))</f>
        <v>0.64</v>
      </c>
    </row>
    <row r="45" spans="1:4" x14ac:dyDescent="0.35">
      <c r="A45">
        <v>2</v>
      </c>
      <c r="B45" t="str">
        <f>INDEX(tblProducts[Product],MATCH(C45,tblProducts[Discount Rank Key],0))</f>
        <v>Creative Owl Shape Keychain Black</v>
      </c>
      <c r="C45">
        <f>LARGE(tblProducts[Discount Rank Key],A45)</f>
        <v>0.61</v>
      </c>
      <c r="D45">
        <f>INDEX(tblProducts[Discount],MATCH(C45,tblProducts[Discount Rank Key],0))</f>
        <v>0.61</v>
      </c>
    </row>
    <row r="46" spans="1:4" x14ac:dyDescent="0.35">
      <c r="A46">
        <v>3</v>
      </c>
      <c r="B46" t="str">
        <f>INDEX(tblProducts[Product],MATCH(C46,tblProducts[Discount Rank Key],0))</f>
        <v>5-Pcs Stainless Steel Cooking Pot Set With Steamed Slices</v>
      </c>
      <c r="C46">
        <f>LARGE(tblProducts[Discount Rank Key],A46)</f>
        <v>0.55001300000000009</v>
      </c>
      <c r="D46">
        <f>INDEX(tblProducts[Discount],MATCH(C46,tblProducts[Discount Rank Key],0))</f>
        <v>0.55000000000000004</v>
      </c>
    </row>
    <row r="47" spans="1:4" x14ac:dyDescent="0.35">
      <c r="A47">
        <v>4</v>
      </c>
      <c r="B47" t="str">
        <f>INDEX(tblProducts[Product],MATCH(C47,tblProducts[Discount Rank Key],0))</f>
        <v>Lasa Folding Table Serving Stand</v>
      </c>
      <c r="C47">
        <f>LARGE(tblProducts[Discount Rank Key],A47)</f>
        <v>0.55000500000000008</v>
      </c>
      <c r="D47">
        <f>INDEX(tblProducts[Discount],MATCH(C47,tblProducts[Discount Rank Key],0))</f>
        <v>0.55000000000000004</v>
      </c>
    </row>
    <row r="48" spans="1:4" x14ac:dyDescent="0.35">
      <c r="A48">
        <v>5</v>
      </c>
      <c r="B48" t="str">
        <f>INDEX(tblProducts[Product],MATCH(C48,tblProducts[Discount Rank Key],0))</f>
        <v>Simple Metal Dog Art Sculpture Decoration For Home Office</v>
      </c>
      <c r="C48">
        <f>LARGE(tblProducts[Discount Rank Key],A48)</f>
        <v>0.55000000000000004</v>
      </c>
      <c r="D48">
        <f>INDEX(tblProducts[Discount],MATCH(C48,tblProducts[Discount Rank Key],0))</f>
        <v>0.55000000000000004</v>
      </c>
    </row>
    <row r="49" spans="1:4" x14ac:dyDescent="0.35">
      <c r="A49">
        <v>6</v>
      </c>
      <c r="B49" t="str">
        <f>INDEX(tblProducts[Product],MATCH(C49,tblProducts[Discount Rank Key],0))</f>
        <v>Mythco 120Cob Solar Wall Ligt With Motion Sensor And Remote Control 3 Modes</v>
      </c>
      <c r="C49">
        <f>LARGE(tblProducts[Discount Rank Key],A49)</f>
        <v>0.54000999999999999</v>
      </c>
      <c r="D49">
        <f>INDEX(tblProducts[Discount],MATCH(C49,tblProducts[Discount Rank Key],0))</f>
        <v>0.54</v>
      </c>
    </row>
    <row r="50" spans="1:4" x14ac:dyDescent="0.35">
      <c r="A50">
        <v>7</v>
      </c>
      <c r="B50" t="str">
        <f>INDEX(tblProducts[Product],MATCH(C50,tblProducts[Discount Rank Key],0))</f>
        <v>Lasa 3 Tier Bamboo Shoe Bench Storage Shelf</v>
      </c>
      <c r="C50">
        <f>LARGE(tblProducts[Discount Rank Key],A50)</f>
        <v>0.54000700000000001</v>
      </c>
      <c r="D50">
        <f>INDEX(tblProducts[Discount],MATCH(C50,tblProducts[Discount Rank Key],0))</f>
        <v>0.54</v>
      </c>
    </row>
    <row r="51" spans="1:4" x14ac:dyDescent="0.35">
      <c r="A51">
        <v>8</v>
      </c>
      <c r="B51" t="str">
        <f>INDEX(tblProducts[Product],MATCH(C51,tblProducts[Discount Rank Key],0))</f>
        <v>3Pcs Single Head Knitting Crochet Sweater Needle Set</v>
      </c>
      <c r="C51">
        <f>LARGE(tblProducts[Discount Rank Key],A51)</f>
        <v>0.53001300000000007</v>
      </c>
      <c r="D51">
        <f>INDEX(tblProducts[Discount],MATCH(C51,tblProducts[Discount Rank Key],0))</f>
        <v>0.53</v>
      </c>
    </row>
    <row r="52" spans="1:4" x14ac:dyDescent="0.35">
      <c r="A52">
        <v>9</v>
      </c>
      <c r="B52" t="str">
        <f>INDEX(tblProducts[Product],MATCH(C52,tblProducts[Discount Rank Key],0))</f>
        <v>Classic Black Cat Cotton Hemp Pillow Case For Home Car</v>
      </c>
      <c r="C52">
        <f>LARGE(tblProducts[Discount Rank Key],A52)</f>
        <v>0.53000199999999997</v>
      </c>
      <c r="D52">
        <f>INDEX(tblProducts[Discount],MATCH(C52,tblProducts[Discount Rank Key],0))</f>
        <v>0.53</v>
      </c>
    </row>
    <row r="53" spans="1:4" x14ac:dyDescent="0.35">
      <c r="A53">
        <v>10</v>
      </c>
      <c r="B53" t="str">
        <f>INDEX(tblProducts[Product],MATCH(C53,tblProducts[Discount Rank Key],0))</f>
        <v>Intelligent LED Body Sensor Wireless Lighting Night Light USB</v>
      </c>
      <c r="C53">
        <f>LARGE(tblProducts[Discount Rank Key],A53)</f>
        <v>0.52001500000000001</v>
      </c>
      <c r="D53">
        <f>INDEX(tblProducts[Discount],MATCH(C53,tblProducts[Discount Rank Key],0))</f>
        <v>0.52</v>
      </c>
    </row>
  </sheetData>
  <mergeCells count="1">
    <mergeCell ref="I1:L1"/>
  </mergeCells>
  <phoneticPr fontId="19" type="noConversion"/>
  <pageMargins left="0.7" right="0.7" top="0.75" bottom="0.75" header="0.3" footer="0.3"/>
  <tableParts count="5">
    <tablePart r:id="rId1"/>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9B265-9AA4-496B-B0FD-1E21A0C8D1F9}">
  <dimension ref="A1:R29"/>
  <sheetViews>
    <sheetView topLeftCell="I11" zoomScale="101" workbookViewId="0">
      <selection activeCell="M20" sqref="M20"/>
    </sheetView>
  </sheetViews>
  <sheetFormatPr defaultRowHeight="14.5" x14ac:dyDescent="0.35"/>
  <cols>
    <col min="1" max="1" width="12.453125" bestFit="1" customWidth="1"/>
    <col min="2" max="2" width="14.90625" bestFit="1" customWidth="1"/>
    <col min="8" max="8" width="59.7265625" bestFit="1" customWidth="1"/>
    <col min="9" max="9" width="13.08984375" bestFit="1" customWidth="1"/>
    <col min="13" max="13" width="15" bestFit="1" customWidth="1"/>
    <col min="14" max="14" width="15.6328125" bestFit="1" customWidth="1"/>
    <col min="15" max="15" width="8.54296875" bestFit="1" customWidth="1"/>
    <col min="16" max="16" width="7.1796875" bestFit="1" customWidth="1"/>
    <col min="17" max="17" width="4.54296875" bestFit="1" customWidth="1"/>
    <col min="18" max="18" width="10.36328125" bestFit="1" customWidth="1"/>
    <col min="19" max="22" width="3.81640625" bestFit="1" customWidth="1"/>
    <col min="23" max="23" width="1.81640625" bestFit="1" customWidth="1"/>
    <col min="24" max="25" width="3.81640625" bestFit="1" customWidth="1"/>
    <col min="26" max="26" width="1.81640625" bestFit="1" customWidth="1"/>
    <col min="27" max="34" width="3.81640625" bestFit="1" customWidth="1"/>
    <col min="35" max="35" width="1.81640625" bestFit="1" customWidth="1"/>
    <col min="37" max="37" width="10.36328125" bestFit="1" customWidth="1"/>
  </cols>
  <sheetData>
    <row r="1" spans="1:14" x14ac:dyDescent="0.35">
      <c r="A1" s="10" t="s">
        <v>408</v>
      </c>
      <c r="H1" s="10" t="s">
        <v>418</v>
      </c>
      <c r="M1" s="10" t="s">
        <v>425</v>
      </c>
    </row>
    <row r="2" spans="1:14" x14ac:dyDescent="0.35">
      <c r="H2" s="12" t="s">
        <v>402</v>
      </c>
      <c r="I2" t="s">
        <v>417</v>
      </c>
      <c r="M2" s="12" t="s">
        <v>402</v>
      </c>
      <c r="N2" t="s">
        <v>424</v>
      </c>
    </row>
    <row r="3" spans="1:14" x14ac:dyDescent="0.35">
      <c r="A3" s="12" t="s">
        <v>402</v>
      </c>
      <c r="B3" t="s">
        <v>407</v>
      </c>
      <c r="H3" s="13" t="s">
        <v>120</v>
      </c>
      <c r="I3" s="11">
        <v>5</v>
      </c>
      <c r="M3" s="13" t="s">
        <v>316</v>
      </c>
      <c r="N3" s="11">
        <v>0.64</v>
      </c>
    </row>
    <row r="4" spans="1:14" x14ac:dyDescent="0.35">
      <c r="A4" s="13" t="s">
        <v>403</v>
      </c>
      <c r="B4" s="11">
        <v>65</v>
      </c>
      <c r="H4" s="13" t="s">
        <v>328</v>
      </c>
      <c r="I4" s="11">
        <v>5</v>
      </c>
      <c r="M4" s="13" t="s">
        <v>324</v>
      </c>
      <c r="N4" s="11">
        <v>0.55000000000000004</v>
      </c>
    </row>
    <row r="5" spans="1:14" x14ac:dyDescent="0.35">
      <c r="A5" s="13" t="s">
        <v>404</v>
      </c>
      <c r="B5" s="11">
        <v>18</v>
      </c>
      <c r="H5" s="13" t="s">
        <v>351</v>
      </c>
      <c r="I5" s="11">
        <v>5</v>
      </c>
      <c r="M5" s="13" t="s">
        <v>341</v>
      </c>
      <c r="N5" s="11">
        <v>0.55000000000000004</v>
      </c>
    </row>
    <row r="6" spans="1:14" x14ac:dyDescent="0.35">
      <c r="A6" s="13" t="s">
        <v>405</v>
      </c>
      <c r="B6" s="11">
        <v>32</v>
      </c>
      <c r="H6" s="13" t="s">
        <v>326</v>
      </c>
      <c r="I6" s="11">
        <v>5</v>
      </c>
      <c r="M6" s="13" t="s">
        <v>154</v>
      </c>
      <c r="N6" s="11">
        <v>0.55000000000000004</v>
      </c>
    </row>
    <row r="7" spans="1:14" x14ac:dyDescent="0.35">
      <c r="A7" s="13" t="s">
        <v>406</v>
      </c>
      <c r="B7" s="11">
        <v>115</v>
      </c>
      <c r="H7" s="13" t="s">
        <v>327</v>
      </c>
      <c r="I7" s="11">
        <v>5</v>
      </c>
      <c r="M7" s="13" t="s">
        <v>331</v>
      </c>
      <c r="N7" s="11">
        <v>0.54</v>
      </c>
    </row>
    <row r="8" spans="1:14" x14ac:dyDescent="0.35">
      <c r="H8" s="13" t="s">
        <v>245</v>
      </c>
      <c r="I8" s="11">
        <v>5</v>
      </c>
      <c r="M8" s="13" t="s">
        <v>340</v>
      </c>
      <c r="N8" s="11">
        <v>0.54</v>
      </c>
    </row>
    <row r="9" spans="1:14" x14ac:dyDescent="0.35">
      <c r="H9" s="13" t="s">
        <v>117</v>
      </c>
      <c r="I9" s="11">
        <v>5</v>
      </c>
      <c r="M9" s="13" t="s">
        <v>120</v>
      </c>
      <c r="N9" s="11">
        <v>0.53</v>
      </c>
    </row>
    <row r="10" spans="1:14" x14ac:dyDescent="0.35">
      <c r="H10" s="13" t="s">
        <v>324</v>
      </c>
      <c r="I10" s="11">
        <v>4.8</v>
      </c>
      <c r="M10" s="13" t="s">
        <v>329</v>
      </c>
      <c r="N10" s="11">
        <v>0.53</v>
      </c>
    </row>
    <row r="11" spans="1:14" x14ac:dyDescent="0.35">
      <c r="H11" s="13" t="s">
        <v>22</v>
      </c>
      <c r="I11" s="11">
        <v>4.8</v>
      </c>
      <c r="M11" s="13" t="s">
        <v>102</v>
      </c>
      <c r="N11" s="11">
        <v>0.52</v>
      </c>
    </row>
    <row r="12" spans="1:14" x14ac:dyDescent="0.35">
      <c r="H12" s="13" t="s">
        <v>365</v>
      </c>
      <c r="I12" s="11">
        <v>4.8</v>
      </c>
      <c r="M12" s="13" t="s">
        <v>360</v>
      </c>
      <c r="N12" s="11">
        <v>0.52</v>
      </c>
    </row>
    <row r="13" spans="1:14" x14ac:dyDescent="0.35">
      <c r="A13" s="10" t="s">
        <v>409</v>
      </c>
      <c r="H13" s="13" t="s">
        <v>406</v>
      </c>
      <c r="I13" s="11">
        <v>4.9399999999999995</v>
      </c>
      <c r="M13" s="13" t="s">
        <v>406</v>
      </c>
      <c r="N13" s="11">
        <v>0.54727272727272724</v>
      </c>
    </row>
    <row r="14" spans="1:14" x14ac:dyDescent="0.35">
      <c r="A14" s="12" t="s">
        <v>402</v>
      </c>
      <c r="B14" t="s">
        <v>407</v>
      </c>
    </row>
    <row r="15" spans="1:14" x14ac:dyDescent="0.35">
      <c r="A15" s="13" t="s">
        <v>410</v>
      </c>
      <c r="B15" s="11">
        <v>26</v>
      </c>
    </row>
    <row r="16" spans="1:14" x14ac:dyDescent="0.35">
      <c r="A16" s="13" t="s">
        <v>411</v>
      </c>
      <c r="B16" s="11">
        <v>19</v>
      </c>
    </row>
    <row r="17" spans="1:18" x14ac:dyDescent="0.35">
      <c r="A17" s="13" t="s">
        <v>412</v>
      </c>
      <c r="B17" s="11">
        <v>58</v>
      </c>
      <c r="H17" s="10" t="s">
        <v>419</v>
      </c>
      <c r="M17" s="10" t="s">
        <v>487</v>
      </c>
    </row>
    <row r="18" spans="1:18" x14ac:dyDescent="0.35">
      <c r="A18" s="13" t="s">
        <v>413</v>
      </c>
      <c r="B18" s="11">
        <v>12</v>
      </c>
      <c r="H18" s="12" t="s">
        <v>402</v>
      </c>
      <c r="I18" t="s">
        <v>415</v>
      </c>
      <c r="M18" s="12" t="s">
        <v>407</v>
      </c>
      <c r="N18" s="12" t="s">
        <v>488</v>
      </c>
    </row>
    <row r="19" spans="1:18" x14ac:dyDescent="0.35">
      <c r="A19" s="13" t="s">
        <v>406</v>
      </c>
      <c r="B19" s="11">
        <v>115</v>
      </c>
      <c r="H19" s="13" t="s">
        <v>194</v>
      </c>
      <c r="I19" s="11">
        <v>69</v>
      </c>
      <c r="M19" s="12" t="s">
        <v>402</v>
      </c>
      <c r="N19" t="s">
        <v>410</v>
      </c>
      <c r="O19" t="s">
        <v>411</v>
      </c>
      <c r="P19" t="s">
        <v>412</v>
      </c>
      <c r="Q19" t="s">
        <v>413</v>
      </c>
      <c r="R19" t="s">
        <v>406</v>
      </c>
    </row>
    <row r="20" spans="1:18" x14ac:dyDescent="0.35">
      <c r="H20" s="13" t="s">
        <v>30</v>
      </c>
      <c r="I20" s="11">
        <v>55</v>
      </c>
      <c r="M20" s="13" t="s">
        <v>403</v>
      </c>
      <c r="N20" s="11">
        <v>12</v>
      </c>
      <c r="O20" s="11">
        <v>8</v>
      </c>
      <c r="P20" s="11">
        <v>35</v>
      </c>
      <c r="Q20" s="11">
        <v>10</v>
      </c>
      <c r="R20" s="11">
        <v>65</v>
      </c>
    </row>
    <row r="21" spans="1:18" x14ac:dyDescent="0.35">
      <c r="H21" s="13" t="s">
        <v>89</v>
      </c>
      <c r="I21" s="11">
        <v>49</v>
      </c>
      <c r="M21" s="13" t="s">
        <v>404</v>
      </c>
      <c r="N21" s="11">
        <v>2</v>
      </c>
      <c r="O21" s="11">
        <v>1</v>
      </c>
      <c r="P21" s="11">
        <v>14</v>
      </c>
      <c r="Q21" s="11">
        <v>1</v>
      </c>
      <c r="R21" s="11">
        <v>18</v>
      </c>
    </row>
    <row r="22" spans="1:18" x14ac:dyDescent="0.35">
      <c r="H22" s="13" t="s">
        <v>68</v>
      </c>
      <c r="I22" s="11">
        <v>44</v>
      </c>
      <c r="M22" s="13" t="s">
        <v>405</v>
      </c>
      <c r="N22" s="11">
        <v>12</v>
      </c>
      <c r="O22" s="11">
        <v>10</v>
      </c>
      <c r="P22" s="11">
        <v>9</v>
      </c>
      <c r="Q22" s="11">
        <v>1</v>
      </c>
      <c r="R22" s="11">
        <v>32</v>
      </c>
    </row>
    <row r="23" spans="1:18" x14ac:dyDescent="0.35">
      <c r="A23" t="s">
        <v>414</v>
      </c>
      <c r="H23" s="13" t="s">
        <v>44</v>
      </c>
      <c r="I23" s="11">
        <v>39</v>
      </c>
      <c r="M23" s="13" t="s">
        <v>406</v>
      </c>
      <c r="N23" s="11">
        <v>26</v>
      </c>
      <c r="O23" s="11">
        <v>19</v>
      </c>
      <c r="P23" s="11">
        <v>58</v>
      </c>
      <c r="Q23" s="11">
        <v>12</v>
      </c>
      <c r="R23" s="11">
        <v>115</v>
      </c>
    </row>
    <row r="24" spans="1:18" x14ac:dyDescent="0.35">
      <c r="A24" s="12" t="s">
        <v>402</v>
      </c>
      <c r="B24" t="s">
        <v>416</v>
      </c>
      <c r="H24" s="13" t="s">
        <v>333</v>
      </c>
      <c r="I24" s="11">
        <v>36</v>
      </c>
    </row>
    <row r="25" spans="1:18" x14ac:dyDescent="0.35">
      <c r="A25" s="13" t="s">
        <v>403</v>
      </c>
      <c r="B25" s="11">
        <v>11.133333333333333</v>
      </c>
      <c r="H25" s="13" t="s">
        <v>114</v>
      </c>
      <c r="I25" s="11">
        <v>32</v>
      </c>
    </row>
    <row r="26" spans="1:18" x14ac:dyDescent="0.35">
      <c r="A26" s="13" t="s">
        <v>404</v>
      </c>
      <c r="B26" s="11">
        <v>9.5</v>
      </c>
      <c r="H26" s="13" t="s">
        <v>14</v>
      </c>
      <c r="I26" s="11">
        <v>24</v>
      </c>
    </row>
    <row r="27" spans="1:18" x14ac:dyDescent="0.35">
      <c r="A27" s="13" t="s">
        <v>405</v>
      </c>
      <c r="B27" s="11">
        <v>15.260869565217391</v>
      </c>
      <c r="H27" s="13" t="s">
        <v>111</v>
      </c>
      <c r="I27" s="11">
        <v>20</v>
      </c>
    </row>
    <row r="28" spans="1:18" x14ac:dyDescent="0.35">
      <c r="A28" s="13" t="s">
        <v>406</v>
      </c>
      <c r="B28" s="11">
        <v>12.684210526315789</v>
      </c>
      <c r="H28" s="13" t="s">
        <v>97</v>
      </c>
      <c r="I28" s="11">
        <v>20</v>
      </c>
    </row>
    <row r="29" spans="1:18" x14ac:dyDescent="0.35">
      <c r="H29" s="13" t="s">
        <v>406</v>
      </c>
      <c r="I29" s="11">
        <v>388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F2283-CBB4-4274-BDB9-294DA700EDE1}">
  <dimension ref="A1:AD79"/>
  <sheetViews>
    <sheetView showGridLines="0" tabSelected="1" topLeftCell="A77" zoomScale="90" zoomScaleNormal="90" workbookViewId="0">
      <selection activeCell="T91" sqref="T91"/>
    </sheetView>
  </sheetViews>
  <sheetFormatPr defaultRowHeight="14.5" x14ac:dyDescent="0.35"/>
  <sheetData>
    <row r="1" spans="1:30" x14ac:dyDescent="0.35">
      <c r="A1" s="10"/>
    </row>
    <row r="5" spans="1:30" x14ac:dyDescent="0.35">
      <c r="F5" s="10"/>
      <c r="G5" s="14"/>
      <c r="H5" s="14"/>
      <c r="I5" s="14"/>
      <c r="J5" s="14"/>
      <c r="K5" s="14"/>
      <c r="L5" s="14"/>
      <c r="M5" s="14"/>
    </row>
    <row r="7" spans="1:30" ht="14.5" customHeight="1" x14ac:dyDescent="0.35">
      <c r="B7" s="26" t="s">
        <v>375</v>
      </c>
      <c r="C7" s="26"/>
      <c r="D7" s="25">
        <f>Analysis!B2</f>
        <v>115</v>
      </c>
      <c r="E7" s="25"/>
      <c r="G7" s="26" t="s">
        <v>420</v>
      </c>
      <c r="H7" s="26"/>
      <c r="I7" s="25">
        <f>Analysis!B3</f>
        <v>1172.7913043478261</v>
      </c>
      <c r="J7" s="25"/>
      <c r="L7" s="26" t="s">
        <v>421</v>
      </c>
      <c r="M7" s="26"/>
      <c r="N7" s="25">
        <f>Analysis!B4</f>
        <v>0.36956521739130432</v>
      </c>
      <c r="O7" s="25"/>
      <c r="Q7" s="26" t="s">
        <v>422</v>
      </c>
      <c r="R7" s="26"/>
      <c r="S7" s="25">
        <f>Analysis!B5</f>
        <v>3.8894736842105258</v>
      </c>
      <c r="T7" s="25"/>
      <c r="V7" s="26" t="s">
        <v>423</v>
      </c>
      <c r="W7" s="26"/>
      <c r="X7" s="24">
        <f>Analysis!B6</f>
        <v>723</v>
      </c>
      <c r="Y7" s="25"/>
      <c r="AA7" s="23" t="s">
        <v>484</v>
      </c>
      <c r="AB7" s="23"/>
      <c r="AC7" s="24">
        <f>Analysis!B7</f>
        <v>22</v>
      </c>
      <c r="AD7" s="25"/>
    </row>
    <row r="8" spans="1:30" ht="14.5" customHeight="1" x14ac:dyDescent="0.35">
      <c r="B8" s="26"/>
      <c r="C8" s="26"/>
      <c r="D8" s="25"/>
      <c r="E8" s="25"/>
      <c r="G8" s="26"/>
      <c r="H8" s="26"/>
      <c r="I8" s="25"/>
      <c r="J8" s="25"/>
      <c r="L8" s="26"/>
      <c r="M8" s="26"/>
      <c r="N8" s="25"/>
      <c r="O8" s="25"/>
      <c r="Q8" s="26"/>
      <c r="R8" s="26"/>
      <c r="S8" s="25"/>
      <c r="T8" s="25"/>
      <c r="V8" s="26"/>
      <c r="W8" s="26"/>
      <c r="X8" s="25"/>
      <c r="Y8" s="25"/>
      <c r="AA8" s="23"/>
      <c r="AB8" s="23"/>
      <c r="AC8" s="25"/>
      <c r="AD8" s="25"/>
    </row>
    <row r="9" spans="1:30" ht="14.5" customHeight="1" x14ac:dyDescent="0.35">
      <c r="B9" s="26"/>
      <c r="C9" s="26"/>
      <c r="D9" s="25"/>
      <c r="E9" s="25"/>
      <c r="G9" s="26"/>
      <c r="H9" s="26"/>
      <c r="I9" s="25"/>
      <c r="J9" s="25"/>
      <c r="L9" s="26"/>
      <c r="M9" s="26"/>
      <c r="N9" s="25"/>
      <c r="O9" s="25"/>
      <c r="Q9" s="26"/>
      <c r="R9" s="26"/>
      <c r="S9" s="25"/>
      <c r="T9" s="25"/>
      <c r="V9" s="26"/>
      <c r="W9" s="26"/>
      <c r="X9" s="25"/>
      <c r="Y9" s="25"/>
      <c r="AA9" s="23"/>
      <c r="AB9" s="23"/>
      <c r="AC9" s="25"/>
      <c r="AD9" s="25"/>
    </row>
    <row r="10" spans="1:30" x14ac:dyDescent="0.35">
      <c r="D10" s="10"/>
    </row>
    <row r="11" spans="1:30" x14ac:dyDescent="0.35">
      <c r="D11" s="10"/>
    </row>
    <row r="12" spans="1:30" x14ac:dyDescent="0.35">
      <c r="D12" s="10"/>
    </row>
    <row r="13" spans="1:30" x14ac:dyDescent="0.35">
      <c r="D13" s="10"/>
    </row>
    <row r="25" spans="20:20" x14ac:dyDescent="0.35">
      <c r="T25" s="4">
        <f>Analysis!B7</f>
        <v>22</v>
      </c>
    </row>
    <row r="79" spans="8:9" ht="26" x14ac:dyDescent="0.6">
      <c r="H79" s="22" t="s">
        <v>426</v>
      </c>
      <c r="I79" s="21"/>
    </row>
  </sheetData>
  <mergeCells count="13">
    <mergeCell ref="B7:C9"/>
    <mergeCell ref="D7:E9"/>
    <mergeCell ref="L7:M9"/>
    <mergeCell ref="G7:H9"/>
    <mergeCell ref="I7:J9"/>
    <mergeCell ref="H79:I79"/>
    <mergeCell ref="AA7:AB9"/>
    <mergeCell ref="AC7:AD9"/>
    <mergeCell ref="X7:Y9"/>
    <mergeCell ref="N7:O9"/>
    <mergeCell ref="Q7:R9"/>
    <mergeCell ref="S7:T9"/>
    <mergeCell ref="V7:W9"/>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BEB6-6622-4A5F-9782-7CC5810A22C9}">
  <dimension ref="A1:N20"/>
  <sheetViews>
    <sheetView zoomScale="96" zoomScaleNormal="96" workbookViewId="0">
      <selection activeCell="I9" sqref="I9"/>
    </sheetView>
  </sheetViews>
  <sheetFormatPr defaultRowHeight="14.5" x14ac:dyDescent="0.35"/>
  <cols>
    <col min="1" max="1" width="16.08984375" bestFit="1" customWidth="1"/>
    <col min="2" max="2" width="30.81640625" bestFit="1" customWidth="1"/>
    <col min="3" max="3" width="25" customWidth="1"/>
    <col min="4" max="4" width="12.36328125" customWidth="1"/>
  </cols>
  <sheetData>
    <row r="1" spans="1:14" x14ac:dyDescent="0.35">
      <c r="A1" s="20" t="s">
        <v>427</v>
      </c>
      <c r="B1" s="21"/>
      <c r="C1" s="21"/>
      <c r="J1" s="21" t="s">
        <v>475</v>
      </c>
      <c r="K1" s="21"/>
      <c r="L1" s="21"/>
      <c r="M1" s="21"/>
      <c r="N1" s="21"/>
    </row>
    <row r="2" spans="1:14" x14ac:dyDescent="0.35">
      <c r="A2" t="s">
        <v>428</v>
      </c>
      <c r="B2" t="s">
        <v>429</v>
      </c>
      <c r="C2" t="s">
        <v>430</v>
      </c>
      <c r="J2" s="10" t="s">
        <v>476</v>
      </c>
    </row>
    <row r="3" spans="1:14" x14ac:dyDescent="0.35">
      <c r="A3" t="s">
        <v>0</v>
      </c>
      <c r="B3" s="16" t="s">
        <v>431</v>
      </c>
      <c r="C3" t="s">
        <v>437</v>
      </c>
      <c r="K3" t="s">
        <v>477</v>
      </c>
    </row>
    <row r="4" spans="1:14" x14ac:dyDescent="0.35">
      <c r="A4" t="s">
        <v>374</v>
      </c>
      <c r="B4" t="s">
        <v>432</v>
      </c>
      <c r="C4" t="s">
        <v>438</v>
      </c>
      <c r="K4" t="s">
        <v>478</v>
      </c>
    </row>
    <row r="5" spans="1:14" x14ac:dyDescent="0.35">
      <c r="A5" t="s">
        <v>373</v>
      </c>
      <c r="B5" t="s">
        <v>433</v>
      </c>
      <c r="C5" t="s">
        <v>438</v>
      </c>
      <c r="K5" t="s">
        <v>479</v>
      </c>
    </row>
    <row r="6" spans="1:14" x14ac:dyDescent="0.35">
      <c r="A6" t="s">
        <v>3</v>
      </c>
      <c r="B6" t="s">
        <v>434</v>
      </c>
      <c r="C6" t="s">
        <v>439</v>
      </c>
      <c r="J6" s="10" t="s">
        <v>480</v>
      </c>
      <c r="K6" s="10"/>
    </row>
    <row r="7" spans="1:14" x14ac:dyDescent="0.35">
      <c r="A7" t="s">
        <v>4</v>
      </c>
      <c r="B7" t="s">
        <v>435</v>
      </c>
      <c r="C7" t="s">
        <v>440</v>
      </c>
      <c r="K7" t="s">
        <v>481</v>
      </c>
    </row>
    <row r="8" spans="1:14" x14ac:dyDescent="0.35">
      <c r="A8" t="s">
        <v>368</v>
      </c>
      <c r="B8" t="s">
        <v>436</v>
      </c>
      <c r="C8" t="s">
        <v>441</v>
      </c>
      <c r="K8" t="s">
        <v>482</v>
      </c>
    </row>
    <row r="9" spans="1:14" x14ac:dyDescent="0.35">
      <c r="K9" t="s">
        <v>483</v>
      </c>
    </row>
    <row r="11" spans="1:14" x14ac:dyDescent="0.35">
      <c r="B11" s="10" t="s">
        <v>442</v>
      </c>
    </row>
    <row r="12" spans="1:14" x14ac:dyDescent="0.35">
      <c r="A12" t="s">
        <v>443</v>
      </c>
      <c r="B12" t="s">
        <v>452</v>
      </c>
      <c r="C12" t="s">
        <v>458</v>
      </c>
      <c r="D12" t="s">
        <v>466</v>
      </c>
    </row>
    <row r="13" spans="1:14" ht="58" x14ac:dyDescent="0.35">
      <c r="A13" s="15" t="s">
        <v>444</v>
      </c>
      <c r="B13" s="17" t="s">
        <v>453</v>
      </c>
      <c r="C13" s="18" t="s">
        <v>459</v>
      </c>
      <c r="D13" s="15" t="s">
        <v>467</v>
      </c>
    </row>
    <row r="14" spans="1:14" ht="72.5" x14ac:dyDescent="0.35">
      <c r="A14" s="15" t="s">
        <v>445</v>
      </c>
      <c r="B14" s="17" t="s">
        <v>454</v>
      </c>
      <c r="C14" s="15" t="s">
        <v>460</v>
      </c>
      <c r="D14" s="15" t="s">
        <v>468</v>
      </c>
    </row>
    <row r="15" spans="1:14" ht="58" x14ac:dyDescent="0.35">
      <c r="A15" s="15" t="s">
        <v>446</v>
      </c>
      <c r="B15" s="17" t="s">
        <v>453</v>
      </c>
      <c r="C15" s="15" t="s">
        <v>461</v>
      </c>
      <c r="D15" s="15" t="s">
        <v>469</v>
      </c>
    </row>
    <row r="16" spans="1:14" ht="101.5" x14ac:dyDescent="0.35">
      <c r="A16" s="15" t="s">
        <v>447</v>
      </c>
      <c r="B16" s="17" t="s">
        <v>455</v>
      </c>
      <c r="C16" s="15" t="s">
        <v>462</v>
      </c>
      <c r="D16" s="15" t="s">
        <v>470</v>
      </c>
    </row>
    <row r="17" spans="1:4" ht="87" x14ac:dyDescent="0.35">
      <c r="A17" s="15" t="s">
        <v>448</v>
      </c>
      <c r="B17" s="17" t="s">
        <v>456</v>
      </c>
      <c r="C17" s="15" t="s">
        <v>463</v>
      </c>
      <c r="D17" s="15" t="s">
        <v>471</v>
      </c>
    </row>
    <row r="18" spans="1:4" ht="58" x14ac:dyDescent="0.35">
      <c r="A18" s="15" t="s">
        <v>449</v>
      </c>
      <c r="B18" s="17" t="s">
        <v>453</v>
      </c>
      <c r="C18" s="15" t="s">
        <v>464</v>
      </c>
      <c r="D18" s="15" t="s">
        <v>472</v>
      </c>
    </row>
    <row r="19" spans="1:4" ht="87" x14ac:dyDescent="0.35">
      <c r="A19" s="15" t="s">
        <v>450</v>
      </c>
      <c r="B19" s="17" t="s">
        <v>455</v>
      </c>
      <c r="C19" s="15" t="s">
        <v>464</v>
      </c>
      <c r="D19" s="15" t="s">
        <v>473</v>
      </c>
    </row>
    <row r="20" spans="1:4" ht="43.5" x14ac:dyDescent="0.35">
      <c r="A20" s="15" t="s">
        <v>451</v>
      </c>
      <c r="B20" s="17" t="s">
        <v>457</v>
      </c>
      <c r="C20" s="15" t="s">
        <v>465</v>
      </c>
      <c r="D20" s="15" t="s">
        <v>474</v>
      </c>
    </row>
  </sheetData>
  <mergeCells count="2">
    <mergeCell ref="A1:C1"/>
    <mergeCell ref="J1:N1"/>
  </mergeCells>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Excel_jumia_dataset</vt:lpstr>
      <vt:lpstr>Cleaned</vt:lpstr>
      <vt:lpstr>Analysis</vt:lpstr>
      <vt:lpstr>Pivot_Tables</vt:lpstr>
      <vt:lpstr>Dashboard</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Javan Paulo</dc:creator>
  <cp:lastModifiedBy>Javan Paulo</cp:lastModifiedBy>
  <dcterms:modified xsi:type="dcterms:W3CDTF">2026-09-14T23:07:32Z</dcterms:modified>
</cp:coreProperties>
</file>